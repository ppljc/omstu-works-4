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@home\ppljc\omstu-works-4\Математика\"/>
    </mc:Choice>
  </mc:AlternateContent>
  <xr:revisionPtr revIDLastSave="0" documentId="13_ncr:1_{99AD7AA0-5B09-4F09-9800-B37EE30B1A47}" xr6:coauthVersionLast="47" xr6:coauthVersionMax="47" xr10:uidLastSave="{00000000-0000-0000-0000-000000000000}"/>
  <bookViews>
    <workbookView xWindow="-98" yWindow="-98" windowWidth="24196" windowHeight="145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2" i="1" l="1"/>
  <c r="L53" i="1"/>
  <c r="M2" i="1"/>
  <c r="O74" i="1"/>
  <c r="E75" i="1"/>
  <c r="I74" i="1"/>
  <c r="G74" i="1"/>
  <c r="B74" i="1"/>
  <c r="I31" i="1" l="1"/>
  <c r="G31" i="1"/>
  <c r="E32" i="1"/>
  <c r="B31" i="1"/>
  <c r="K9" i="1"/>
  <c r="K2" i="1"/>
  <c r="K1" i="1"/>
  <c r="C74" i="1" l="1"/>
  <c r="F75" i="1"/>
  <c r="C31" i="1"/>
  <c r="D31" i="1" s="1"/>
  <c r="B32" i="1"/>
  <c r="F32" i="1"/>
  <c r="G32" i="1" s="1"/>
  <c r="E76" i="1" l="1"/>
  <c r="G75" i="1"/>
  <c r="I75" i="1"/>
  <c r="B75" i="1"/>
  <c r="D74" i="1"/>
  <c r="E33" i="1"/>
  <c r="I32" i="1"/>
  <c r="C32" i="1"/>
  <c r="B33" i="1" s="1"/>
  <c r="D32" i="1"/>
  <c r="C75" i="1" l="1"/>
  <c r="B76" i="1" s="1"/>
  <c r="D75" i="1"/>
  <c r="F76" i="1"/>
  <c r="G76" i="1"/>
  <c r="F33" i="1"/>
  <c r="E34" i="1" s="1"/>
  <c r="G33" i="1"/>
  <c r="C33" i="1"/>
  <c r="B34" i="1" s="1"/>
  <c r="E77" i="1" l="1"/>
  <c r="I76" i="1"/>
  <c r="I33" i="1"/>
  <c r="C76" i="1"/>
  <c r="B77" i="1" s="1"/>
  <c r="D76" i="1"/>
  <c r="D33" i="1"/>
  <c r="F34" i="1"/>
  <c r="E35" i="1" s="1"/>
  <c r="G34" i="1"/>
  <c r="C34" i="1"/>
  <c r="B35" i="1" s="1"/>
  <c r="D34" i="1"/>
  <c r="C77" i="1" l="1"/>
  <c r="B78" i="1" s="1"/>
  <c r="D77" i="1"/>
  <c r="I34" i="1"/>
  <c r="F77" i="1"/>
  <c r="G77" i="1"/>
  <c r="F35" i="1"/>
  <c r="E36" i="1" s="1"/>
  <c r="C35" i="1"/>
  <c r="B36" i="1" s="1"/>
  <c r="D35" i="1"/>
  <c r="G35" i="1" l="1"/>
  <c r="I35" i="1"/>
  <c r="C78" i="1"/>
  <c r="B79" i="1" s="1"/>
  <c r="D78" i="1"/>
  <c r="E78" i="1"/>
  <c r="I77" i="1"/>
  <c r="F36" i="1"/>
  <c r="E37" i="1" s="1"/>
  <c r="C36" i="1"/>
  <c r="B37" i="1" s="1"/>
  <c r="D36" i="1"/>
  <c r="C79" i="1" l="1"/>
  <c r="B80" i="1" s="1"/>
  <c r="F78" i="1"/>
  <c r="G36" i="1"/>
  <c r="I36" i="1"/>
  <c r="F37" i="1"/>
  <c r="E38" i="1" s="1"/>
  <c r="C37" i="1"/>
  <c r="B38" i="1" s="1"/>
  <c r="E79" i="1" l="1"/>
  <c r="D79" i="1"/>
  <c r="C80" i="1"/>
  <c r="B81" i="1" s="1"/>
  <c r="D80" i="1"/>
  <c r="G78" i="1"/>
  <c r="D37" i="1"/>
  <c r="I78" i="1"/>
  <c r="F38" i="1"/>
  <c r="E39" i="1" s="1"/>
  <c r="G37" i="1"/>
  <c r="C38" i="1"/>
  <c r="B39" i="1" s="1"/>
  <c r="I37" i="1"/>
  <c r="C81" i="1" l="1"/>
  <c r="B82" i="1" s="1"/>
  <c r="D81" i="1"/>
  <c r="F79" i="1"/>
  <c r="G79" i="1"/>
  <c r="I79" i="1"/>
  <c r="G38" i="1"/>
  <c r="I38" i="1"/>
  <c r="C39" i="1"/>
  <c r="B40" i="1" s="1"/>
  <c r="D38" i="1"/>
  <c r="F39" i="1"/>
  <c r="E40" i="1" s="1"/>
  <c r="I39" i="1"/>
  <c r="G39" i="1"/>
  <c r="C82" i="1" l="1"/>
  <c r="B83" i="1" s="1"/>
  <c r="E80" i="1"/>
  <c r="D39" i="1"/>
  <c r="C40" i="1"/>
  <c r="B41" i="1" s="1"/>
  <c r="F40" i="1"/>
  <c r="E41" i="1" s="1"/>
  <c r="C83" i="1" l="1"/>
  <c r="B84" i="1" s="1"/>
  <c r="D83" i="1"/>
  <c r="F80" i="1"/>
  <c r="G80" i="1"/>
  <c r="I80" i="1"/>
  <c r="D82" i="1"/>
  <c r="I40" i="1"/>
  <c r="G40" i="1"/>
  <c r="D40" i="1"/>
  <c r="F41" i="1"/>
  <c r="E42" i="1" s="1"/>
  <c r="C41" i="1"/>
  <c r="B42" i="1" s="1"/>
  <c r="E81" i="1" l="1"/>
  <c r="D41" i="1"/>
  <c r="C84" i="1"/>
  <c r="B85" i="1" s="1"/>
  <c r="I41" i="1"/>
  <c r="G41" i="1"/>
  <c r="C42" i="1"/>
  <c r="B43" i="1" s="1"/>
  <c r="F42" i="1"/>
  <c r="E43" i="1" s="1"/>
  <c r="D42" i="1" l="1"/>
  <c r="C85" i="1"/>
  <c r="B86" i="1" s="1"/>
  <c r="F81" i="1"/>
  <c r="G81" i="1"/>
  <c r="D84" i="1"/>
  <c r="G42" i="1"/>
  <c r="I42" i="1"/>
  <c r="C43" i="1"/>
  <c r="B44" i="1" s="1"/>
  <c r="F43" i="1"/>
  <c r="E44" i="1" s="1"/>
  <c r="E82" i="1" l="1"/>
  <c r="I81" i="1"/>
  <c r="C86" i="1"/>
  <c r="B87" i="1" s="1"/>
  <c r="D85" i="1"/>
  <c r="F44" i="1"/>
  <c r="I44" i="1" s="1"/>
  <c r="G44" i="1"/>
  <c r="I43" i="1"/>
  <c r="C44" i="1"/>
  <c r="B45" i="1" s="1"/>
  <c r="G43" i="1"/>
  <c r="D43" i="1"/>
  <c r="C87" i="1" l="1"/>
  <c r="B88" i="1" s="1"/>
  <c r="D87" i="1"/>
  <c r="F82" i="1"/>
  <c r="I82" i="1" s="1"/>
  <c r="G82" i="1"/>
  <c r="D86" i="1"/>
  <c r="C45" i="1"/>
  <c r="B46" i="1" s="1"/>
  <c r="G51" i="1"/>
  <c r="H43" i="1" s="1"/>
  <c r="M43" i="1" s="1"/>
  <c r="D44" i="1"/>
  <c r="N43" i="1" l="1"/>
  <c r="K82" i="1"/>
  <c r="C88" i="1"/>
  <c r="B89" i="1" s="1"/>
  <c r="D88" i="1"/>
  <c r="H74" i="1"/>
  <c r="H75" i="1"/>
  <c r="H76" i="1"/>
  <c r="H77" i="1"/>
  <c r="H78" i="1"/>
  <c r="H79" i="1"/>
  <c r="H80" i="1"/>
  <c r="H81" i="1"/>
  <c r="H82" i="1"/>
  <c r="J82" i="1" s="1"/>
  <c r="K43" i="1"/>
  <c r="E83" i="1"/>
  <c r="O43" i="1"/>
  <c r="L43" i="1"/>
  <c r="H31" i="1"/>
  <c r="H32" i="1"/>
  <c r="H33" i="1"/>
  <c r="H34" i="1"/>
  <c r="H35" i="1"/>
  <c r="H36" i="1"/>
  <c r="H37" i="1"/>
  <c r="H39" i="1"/>
  <c r="H38" i="1"/>
  <c r="H40" i="1"/>
  <c r="H41" i="1"/>
  <c r="H42" i="1"/>
  <c r="D45" i="1"/>
  <c r="H44" i="1"/>
  <c r="O44" i="1" s="1"/>
  <c r="M44" i="1"/>
  <c r="C46" i="1"/>
  <c r="B47" i="1" s="1"/>
  <c r="J80" i="1" l="1"/>
  <c r="K80" i="1"/>
  <c r="C89" i="1"/>
  <c r="B90" i="1" s="1"/>
  <c r="J74" i="1"/>
  <c r="K74" i="1"/>
  <c r="F83" i="1"/>
  <c r="G83" i="1" s="1"/>
  <c r="K79" i="1"/>
  <c r="J79" i="1"/>
  <c r="J77" i="1"/>
  <c r="K77" i="1"/>
  <c r="K78" i="1"/>
  <c r="J78" i="1"/>
  <c r="K76" i="1"/>
  <c r="J76" i="1"/>
  <c r="D46" i="1"/>
  <c r="K81" i="1"/>
  <c r="J81" i="1"/>
  <c r="K75" i="1"/>
  <c r="J75" i="1"/>
  <c r="M33" i="1"/>
  <c r="K33" i="1"/>
  <c r="O33" i="1"/>
  <c r="L33" i="1"/>
  <c r="N33" i="1"/>
  <c r="L44" i="1"/>
  <c r="K38" i="1"/>
  <c r="M38" i="1"/>
  <c r="N38" i="1"/>
  <c r="L38" i="1"/>
  <c r="O38" i="1"/>
  <c r="O39" i="1"/>
  <c r="M39" i="1"/>
  <c r="K39" i="1"/>
  <c r="L39" i="1"/>
  <c r="N39" i="1"/>
  <c r="O32" i="1"/>
  <c r="M32" i="1"/>
  <c r="N32" i="1"/>
  <c r="K32" i="1"/>
  <c r="L32" i="1"/>
  <c r="O37" i="1"/>
  <c r="M37" i="1"/>
  <c r="K37" i="1"/>
  <c r="L37" i="1"/>
  <c r="N37" i="1"/>
  <c r="K31" i="1"/>
  <c r="L31" i="1"/>
  <c r="J32" i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M31" i="1"/>
  <c r="N31" i="1"/>
  <c r="O31" i="1"/>
  <c r="L42" i="1"/>
  <c r="N42" i="1"/>
  <c r="O42" i="1"/>
  <c r="K42" i="1"/>
  <c r="M42" i="1"/>
  <c r="O36" i="1"/>
  <c r="N36" i="1"/>
  <c r="K36" i="1"/>
  <c r="M36" i="1"/>
  <c r="L36" i="1"/>
  <c r="N44" i="1"/>
  <c r="O41" i="1"/>
  <c r="M41" i="1"/>
  <c r="L41" i="1"/>
  <c r="N41" i="1"/>
  <c r="K41" i="1"/>
  <c r="O35" i="1"/>
  <c r="K35" i="1"/>
  <c r="M35" i="1"/>
  <c r="L35" i="1"/>
  <c r="N35" i="1"/>
  <c r="K44" i="1"/>
  <c r="O40" i="1"/>
  <c r="L40" i="1"/>
  <c r="M40" i="1"/>
  <c r="N40" i="1"/>
  <c r="K40" i="1"/>
  <c r="O34" i="1"/>
  <c r="M34" i="1"/>
  <c r="L34" i="1"/>
  <c r="N34" i="1"/>
  <c r="K34" i="1"/>
  <c r="C47" i="1"/>
  <c r="B48" i="1" s="1"/>
  <c r="I83" i="1" l="1"/>
  <c r="N51" i="1"/>
  <c r="D47" i="1"/>
  <c r="M51" i="1"/>
  <c r="J83" i="1"/>
  <c r="D89" i="1"/>
  <c r="L51" i="1"/>
  <c r="H83" i="1"/>
  <c r="K83" i="1" s="1"/>
  <c r="C90" i="1"/>
  <c r="B91" i="1" s="1"/>
  <c r="K51" i="1"/>
  <c r="E84" i="1"/>
  <c r="C48" i="1"/>
  <c r="B49" i="1" s="1"/>
  <c r="F84" i="1" l="1"/>
  <c r="G84" i="1"/>
  <c r="I84" i="1"/>
  <c r="C91" i="1"/>
  <c r="B92" i="1" s="1"/>
  <c r="D91" i="1"/>
  <c r="L56" i="1"/>
  <c r="D48" i="1"/>
  <c r="D90" i="1"/>
  <c r="L57" i="1"/>
  <c r="L54" i="1"/>
  <c r="L55" i="1" s="1"/>
  <c r="C49" i="1"/>
  <c r="B50" i="1" s="1"/>
  <c r="D49" i="1"/>
  <c r="H84" i="1" l="1"/>
  <c r="E85" i="1"/>
  <c r="J84" i="1"/>
  <c r="K84" i="1"/>
  <c r="C92" i="1"/>
  <c r="B93" i="1" s="1"/>
  <c r="C93" i="1" s="1"/>
  <c r="D93" i="1" s="1"/>
  <c r="L58" i="1"/>
  <c r="L59" i="1" s="1"/>
  <c r="L61" i="1"/>
  <c r="L60" i="1" s="1"/>
  <c r="C50" i="1"/>
  <c r="D50" i="1"/>
  <c r="D51" i="1" s="1"/>
  <c r="D92" i="1" l="1"/>
  <c r="D94" i="1" s="1"/>
  <c r="F85" i="1"/>
  <c r="I85" i="1"/>
  <c r="G85" i="1"/>
  <c r="H85" i="1" l="1"/>
  <c r="K85" i="1"/>
  <c r="J85" i="1"/>
  <c r="E86" i="1"/>
  <c r="F86" i="1" l="1"/>
  <c r="G86" i="1"/>
  <c r="E87" i="1" l="1"/>
  <c r="H86" i="1"/>
  <c r="I86" i="1"/>
  <c r="K86" i="1" l="1"/>
  <c r="J86" i="1"/>
  <c r="F87" i="1"/>
  <c r="I87" i="1" s="1"/>
  <c r="G87" i="1"/>
  <c r="H87" i="1" l="1"/>
  <c r="K87" i="1" s="1"/>
  <c r="K94" i="1" s="1"/>
  <c r="G94" i="1"/>
  <c r="J87" i="1" l="1"/>
  <c r="J94" i="1" s="1"/>
  <c r="L80" i="1" l="1"/>
  <c r="L83" i="1"/>
  <c r="L85" i="1"/>
  <c r="M85" i="1"/>
  <c r="N85" i="1" s="1"/>
  <c r="O85" i="1" s="1"/>
  <c r="P85" i="1" s="1"/>
  <c r="K96" i="1"/>
  <c r="K97" i="1" s="1"/>
  <c r="M74" i="1" s="1"/>
  <c r="N74" i="1" s="1"/>
  <c r="M79" i="1" l="1"/>
  <c r="L86" i="1"/>
  <c r="L77" i="1"/>
  <c r="M81" i="1"/>
  <c r="L87" i="1"/>
  <c r="N87" i="1" s="1"/>
  <c r="O87" i="1" s="1"/>
  <c r="P87" i="1" s="1"/>
  <c r="L75" i="1"/>
  <c r="M82" i="1"/>
  <c r="M76" i="1"/>
  <c r="L82" i="1"/>
  <c r="L79" i="1"/>
  <c r="N79" i="1" s="1"/>
  <c r="O79" i="1" s="1"/>
  <c r="P79" i="1" s="1"/>
  <c r="L76" i="1"/>
  <c r="M84" i="1"/>
  <c r="M78" i="1"/>
  <c r="M75" i="1"/>
  <c r="L84" i="1"/>
  <c r="L81" i="1"/>
  <c r="L78" i="1"/>
  <c r="M86" i="1"/>
  <c r="N86" i="1" s="1"/>
  <c r="O86" i="1" s="1"/>
  <c r="P86" i="1" s="1"/>
  <c r="M83" i="1"/>
  <c r="N83" i="1" s="1"/>
  <c r="O83" i="1" s="1"/>
  <c r="P83" i="1" s="1"/>
  <c r="M80" i="1"/>
  <c r="N80" i="1" s="1"/>
  <c r="O80" i="1" s="1"/>
  <c r="P80" i="1" s="1"/>
  <c r="M77" i="1"/>
  <c r="N77" i="1" s="1"/>
  <c r="O77" i="1" s="1"/>
  <c r="P77" i="1" s="1"/>
  <c r="N84" i="1" l="1"/>
  <c r="O84" i="1" s="1"/>
  <c r="P84" i="1" s="1"/>
  <c r="N81" i="1"/>
  <c r="O81" i="1" s="1"/>
  <c r="P81" i="1" s="1"/>
  <c r="N75" i="1"/>
  <c r="N76" i="1"/>
  <c r="O76" i="1" s="1"/>
  <c r="P76" i="1" s="1"/>
  <c r="P74" i="1"/>
  <c r="P94" i="1" s="1"/>
  <c r="N78" i="1"/>
  <c r="O78" i="1" s="1"/>
  <c r="P78" i="1" s="1"/>
  <c r="N82" i="1"/>
  <c r="O82" i="1" s="1"/>
  <c r="P82" i="1" s="1"/>
  <c r="O75" i="1" l="1"/>
  <c r="N94" i="1"/>
  <c r="P75" i="1" l="1"/>
  <c r="O94" i="1"/>
</calcChain>
</file>

<file path=xl/sharedStrings.xml><?xml version="1.0" encoding="utf-8"?>
<sst xmlns="http://schemas.openxmlformats.org/spreadsheetml/2006/main" count="67" uniqueCount="54">
  <si>
    <t>8, 0074</t>
  </si>
  <si>
    <t>9,64 05</t>
  </si>
  <si>
    <t>МИН</t>
  </si>
  <si>
    <t>МАКС</t>
  </si>
  <si>
    <t>№ п/п</t>
  </si>
  <si>
    <t>n_i (до объединия)</t>
  </si>
  <si>
    <t>n_i (после объединения)</t>
  </si>
  <si>
    <t>P_i^*</t>
  </si>
  <si>
    <t>x_i^~</t>
  </si>
  <si>
    <t>F*(x_i^~)</t>
  </si>
  <si>
    <t>x_i^~ P*_i</t>
  </si>
  <si>
    <t>x_i^~^2 P*_i</t>
  </si>
  <si>
    <t>x_i^~^3 P*_i</t>
  </si>
  <si>
    <t>x_i^~^4 P*_i</t>
  </si>
  <si>
    <t>начало интервала</t>
  </si>
  <si>
    <t>конец интервала</t>
  </si>
  <si>
    <t>кол-во разбиений</t>
  </si>
  <si>
    <t>J (до объединения) начало интервала</t>
  </si>
  <si>
    <t>J (до объединения) конец интервала</t>
  </si>
  <si>
    <t>J (после объединения) начало интервала</t>
  </si>
  <si>
    <t>J (после объединения) конец интервала</t>
  </si>
  <si>
    <t>длина интервала</t>
  </si>
  <si>
    <t>выборка без шума:</t>
  </si>
  <si>
    <t>выборка:</t>
  </si>
  <si>
    <t>высота прямоугольнкика</t>
  </si>
  <si>
    <t>сумма:</t>
  </si>
  <si>
    <t>S</t>
  </si>
  <si>
    <t>A*</t>
  </si>
  <si>
    <t>E*</t>
  </si>
  <si>
    <t>M*</t>
  </si>
  <si>
    <r>
      <t>x</t>
    </r>
    <r>
      <rPr>
        <vertAlign val="superscript"/>
        <sz val="14"/>
        <color theme="1"/>
        <rFont val="Times New Roman"/>
        <family val="1"/>
        <charset val="204"/>
      </rPr>
      <t>-</t>
    </r>
  </si>
  <si>
    <r>
      <t>S</t>
    </r>
    <r>
      <rPr>
        <vertAlign val="superscript"/>
        <sz val="14"/>
        <color theme="1"/>
        <rFont val="Times New Roman"/>
        <family val="1"/>
        <charset val="204"/>
      </rPr>
      <t>2</t>
    </r>
  </si>
  <si>
    <r>
      <t>m</t>
    </r>
    <r>
      <rPr>
        <vertAlign val="subscript"/>
        <sz val="14"/>
        <color theme="1"/>
        <rFont val="Times New Roman"/>
        <family val="1"/>
        <charset val="204"/>
      </rPr>
      <t>3</t>
    </r>
  </si>
  <si>
    <r>
      <t>m</t>
    </r>
    <r>
      <rPr>
        <vertAlign val="subscript"/>
        <sz val="14"/>
        <color theme="1"/>
        <rFont val="Times New Roman"/>
        <family val="1"/>
        <charset val="204"/>
      </rPr>
      <t>4</t>
    </r>
  </si>
  <si>
    <r>
      <t>S</t>
    </r>
    <r>
      <rPr>
        <vertAlign val="superscript"/>
        <sz val="14"/>
        <color theme="1"/>
        <rFont val="Times New Roman"/>
        <family val="1"/>
        <charset val="204"/>
      </rPr>
      <t>3</t>
    </r>
  </si>
  <si>
    <r>
      <t>S</t>
    </r>
    <r>
      <rPr>
        <vertAlign val="superscript"/>
        <sz val="14"/>
        <color theme="1"/>
        <rFont val="Times New Roman"/>
        <family val="1"/>
        <charset val="204"/>
      </rPr>
      <t>4</t>
    </r>
  </si>
  <si>
    <t>Выдвинута теория о Нормальном законе распределения</t>
  </si>
  <si>
    <t xml:space="preserve">Pi = </t>
  </si>
  <si>
    <r>
      <t>Ф</t>
    </r>
    <r>
      <rPr>
        <b/>
        <sz val="14"/>
        <color theme="1"/>
        <rFont val="Times New Roman"/>
        <family val="1"/>
        <charset val="204"/>
      </rPr>
      <t>(</t>
    </r>
    <r>
      <rPr>
        <sz val="14"/>
        <color theme="1"/>
        <rFont val="Times New Roman"/>
        <family val="1"/>
        <charset val="204"/>
      </rPr>
      <t>(x(i) - x̄) / S</t>
    </r>
    <r>
      <rPr>
        <b/>
        <sz val="14"/>
        <color theme="1"/>
        <rFont val="Times New Roman"/>
        <family val="1"/>
        <charset val="204"/>
      </rPr>
      <t xml:space="preserve">) - </t>
    </r>
    <r>
      <rPr>
        <sz val="14"/>
        <color theme="1"/>
        <rFont val="Times New Roman"/>
        <family val="1"/>
        <charset val="204"/>
      </rPr>
      <t>Ф</t>
    </r>
    <r>
      <rPr>
        <b/>
        <sz val="14"/>
        <color theme="1"/>
        <rFont val="Times New Roman"/>
        <family val="1"/>
        <charset val="204"/>
      </rPr>
      <t>((</t>
    </r>
    <r>
      <rPr>
        <sz val="14"/>
        <color theme="1"/>
        <rFont val="Times New Roman"/>
        <family val="1"/>
        <charset val="204"/>
      </rPr>
      <t xml:space="preserve">x(i-1) - x̄) /S </t>
    </r>
    <r>
      <rPr>
        <b/>
        <sz val="14"/>
        <color theme="1"/>
        <rFont val="Times New Roman"/>
        <family val="1"/>
        <charset val="204"/>
      </rPr>
      <t>)</t>
    </r>
  </si>
  <si>
    <t>x_i~ * P_i~</t>
  </si>
  <si>
    <t>x_i~^2 * P_i~</t>
  </si>
  <si>
    <t xml:space="preserve">S^2 = </t>
  </si>
  <si>
    <t xml:space="preserve">S = </t>
  </si>
  <si>
    <t>z_i-1</t>
  </si>
  <si>
    <t>z_i</t>
  </si>
  <si>
    <t>P_i</t>
  </si>
  <si>
    <t>((n_i - n'_i)^2) / n'_i.</t>
  </si>
  <si>
    <t>n'_i</t>
  </si>
  <si>
    <t>k = 14 - 1 - 2 = 11</t>
  </si>
  <si>
    <t>a = 0.01</t>
  </si>
  <si>
    <t>Xa^2 = 24,72</t>
  </si>
  <si>
    <t>X^2 = 23,75</t>
  </si>
  <si>
    <t xml:space="preserve">выдвинутая гипотеза не отвергается на уровне значимости 0,01 </t>
  </si>
  <si>
    <t>Размах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</si>
</sst>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9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color theme="0" tint="-4.9989318521683403E-2"/>
      <name val="Times New Roman"/>
      <family val="1"/>
      <charset val="204"/>
    </font>
    <font>
      <vertAlign val="superscript"/>
      <sz val="14"/>
      <color theme="1"/>
      <name val="Times New Roman"/>
      <family val="1"/>
      <charset val="204"/>
    </font>
    <font>
      <vertAlign val="subscript"/>
      <sz val="14"/>
      <color theme="1"/>
      <name val="Times New Roman"/>
      <family val="1"/>
      <charset val="204"/>
    </font>
    <font>
      <sz val="8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 wrapText="1"/>
    </xf>
    <xf numFmtId="2" fontId="2" fillId="0" borderId="9" xfId="0" applyNumberFormat="1" applyFont="1" applyBorder="1" applyAlignment="1">
      <alignment horizontal="center" vertical="center"/>
    </xf>
    <xf numFmtId="2" fontId="2" fillId="0" borderId="10" xfId="0" applyNumberFormat="1" applyFont="1" applyBorder="1" applyAlignment="1">
      <alignment horizontal="center" vertical="center"/>
    </xf>
    <xf numFmtId="2" fontId="2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/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7" fillId="0" borderId="0" xfId="0" applyFont="1"/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2" fontId="2" fillId="0" borderId="21" xfId="0" applyNumberFormat="1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ru-RU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Гистограмма относительных частот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cat>
            <c:numRef>
              <c:f>Лист1!$E$31:$E$44</c:f>
              <c:numCache>
                <c:formatCode>General</c:formatCode>
                <c:ptCount val="14"/>
                <c:pt idx="0">
                  <c:v>7.6</c:v>
                </c:pt>
                <c:pt idx="1">
                  <c:v>8.1999999999999993</c:v>
                </c:pt>
                <c:pt idx="2">
                  <c:v>8.7999999999999989</c:v>
                </c:pt>
                <c:pt idx="3">
                  <c:v>9.3999999999999986</c:v>
                </c:pt>
                <c:pt idx="4">
                  <c:v>9.9999999999999982</c:v>
                </c:pt>
                <c:pt idx="5">
                  <c:v>10.599999999999998</c:v>
                </c:pt>
                <c:pt idx="6">
                  <c:v>11.199999999999998</c:v>
                </c:pt>
                <c:pt idx="7">
                  <c:v>11.799999999999997</c:v>
                </c:pt>
                <c:pt idx="8">
                  <c:v>12.399999999999997</c:v>
                </c:pt>
                <c:pt idx="9">
                  <c:v>12.999999999999996</c:v>
                </c:pt>
                <c:pt idx="10">
                  <c:v>13.599999999999996</c:v>
                </c:pt>
                <c:pt idx="11">
                  <c:v>14.199999999999996</c:v>
                </c:pt>
                <c:pt idx="12">
                  <c:v>14.799999999999995</c:v>
                </c:pt>
                <c:pt idx="13">
                  <c:v>15.399999999999995</c:v>
                </c:pt>
              </c:numCache>
            </c:numRef>
          </c:cat>
          <c:val>
            <c:numRef>
              <c:f>Лист1!$O$31:$O$44</c:f>
              <c:numCache>
                <c:formatCode>General</c:formatCode>
                <c:ptCount val="14"/>
                <c:pt idx="0">
                  <c:v>6.2893081761006331E-2</c:v>
                </c:pt>
                <c:pt idx="1">
                  <c:v>0.11006289308176107</c:v>
                </c:pt>
                <c:pt idx="2">
                  <c:v>8.6477987421383698E-2</c:v>
                </c:pt>
                <c:pt idx="3">
                  <c:v>0.10220125786163528</c:v>
                </c:pt>
                <c:pt idx="4">
                  <c:v>0.18081761006289321</c:v>
                </c:pt>
                <c:pt idx="5">
                  <c:v>0.11006289308176107</c:v>
                </c:pt>
                <c:pt idx="6">
                  <c:v>0.14150943396226423</c:v>
                </c:pt>
                <c:pt idx="7">
                  <c:v>0.18081761006289321</c:v>
                </c:pt>
                <c:pt idx="8">
                  <c:v>0.11792452830188686</c:v>
                </c:pt>
                <c:pt idx="9">
                  <c:v>0.11792452830188686</c:v>
                </c:pt>
                <c:pt idx="10">
                  <c:v>0.11792452830188686</c:v>
                </c:pt>
                <c:pt idx="11">
                  <c:v>0.10220125786163528</c:v>
                </c:pt>
                <c:pt idx="12">
                  <c:v>0.13364779874213845</c:v>
                </c:pt>
                <c:pt idx="13">
                  <c:v>0.10220125786163528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03-466C-8F95-AF64667FC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1693523408"/>
        <c:axId val="1693521968"/>
      </c:barChart>
      <c:catAx>
        <c:axId val="169352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3521968"/>
        <c:crosses val="autoZero"/>
        <c:auto val="1"/>
        <c:lblAlgn val="ctr"/>
        <c:lblOffset val="100"/>
        <c:noMultiLvlLbl val="0"/>
      </c:catAx>
      <c:valAx>
        <c:axId val="169352196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69352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Эмпирическая функция распределения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Лист1!$I$31:$I$44</c:f>
              <c:numCache>
                <c:formatCode>General</c:formatCode>
                <c:ptCount val="14"/>
                <c:pt idx="0">
                  <c:v>7.8999999999999995</c:v>
                </c:pt>
                <c:pt idx="1">
                  <c:v>8.5</c:v>
                </c:pt>
                <c:pt idx="2">
                  <c:v>9.0999999999999979</c:v>
                </c:pt>
                <c:pt idx="3">
                  <c:v>9.6999999999999993</c:v>
                </c:pt>
                <c:pt idx="4">
                  <c:v>10.299999999999997</c:v>
                </c:pt>
                <c:pt idx="5">
                  <c:v>10.899999999999999</c:v>
                </c:pt>
                <c:pt idx="6">
                  <c:v>11.499999999999996</c:v>
                </c:pt>
                <c:pt idx="7">
                  <c:v>12.099999999999998</c:v>
                </c:pt>
                <c:pt idx="8">
                  <c:v>12.699999999999996</c:v>
                </c:pt>
                <c:pt idx="9">
                  <c:v>13.299999999999997</c:v>
                </c:pt>
                <c:pt idx="10">
                  <c:v>13.899999999999995</c:v>
                </c:pt>
                <c:pt idx="11">
                  <c:v>14.499999999999996</c:v>
                </c:pt>
                <c:pt idx="12">
                  <c:v>15.099999999999994</c:v>
                </c:pt>
                <c:pt idx="13">
                  <c:v>15.699999999999996</c:v>
                </c:pt>
              </c:numCache>
            </c:numRef>
          </c:xVal>
          <c:yVal>
            <c:numRef>
              <c:f>Лист1!$J$31:$J$44</c:f>
              <c:numCache>
                <c:formatCode>General</c:formatCode>
                <c:ptCount val="14"/>
                <c:pt idx="0">
                  <c:v>0</c:v>
                </c:pt>
                <c:pt idx="1">
                  <c:v>3.7735849056603772E-2</c:v>
                </c:pt>
                <c:pt idx="2">
                  <c:v>0.10377358490566038</c:v>
                </c:pt>
                <c:pt idx="3">
                  <c:v>0.15566037735849059</c:v>
                </c:pt>
                <c:pt idx="4">
                  <c:v>0.21698113207547171</c:v>
                </c:pt>
                <c:pt idx="5">
                  <c:v>0.32547169811320753</c:v>
                </c:pt>
                <c:pt idx="6">
                  <c:v>0.39150943396226412</c:v>
                </c:pt>
                <c:pt idx="7">
                  <c:v>0.47641509433962259</c:v>
                </c:pt>
                <c:pt idx="8">
                  <c:v>0.58490566037735847</c:v>
                </c:pt>
                <c:pt idx="9">
                  <c:v>0.65566037735849059</c:v>
                </c:pt>
                <c:pt idx="10">
                  <c:v>0.7264150943396227</c:v>
                </c:pt>
                <c:pt idx="11">
                  <c:v>0.79716981132075482</c:v>
                </c:pt>
                <c:pt idx="12">
                  <c:v>0.85849056603773599</c:v>
                </c:pt>
                <c:pt idx="13">
                  <c:v>0.93867924528301905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2F-44F9-930A-70F0B7EEE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1590015"/>
        <c:axId val="1981591455"/>
      </c:scatterChart>
      <c:valAx>
        <c:axId val="1981590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1591455"/>
        <c:crosses val="autoZero"/>
        <c:crossBetween val="midCat"/>
      </c:valAx>
      <c:valAx>
        <c:axId val="198159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981590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390525</xdr:colOff>
      <xdr:row>28</xdr:row>
      <xdr:rowOff>366712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446D0B4-A5D1-BFFE-3E95-4413AA50BC2D}"/>
            </a:ext>
          </a:extLst>
        </xdr:cNvPr>
        <xdr:cNvSpPr txBox="1"/>
      </xdr:nvSpPr>
      <xdr:spPr>
        <a:xfrm>
          <a:off x="8458200" y="72913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  <xdr:twoCellAnchor>
    <xdr:from>
      <xdr:col>1</xdr:col>
      <xdr:colOff>0</xdr:colOff>
      <xdr:row>52</xdr:row>
      <xdr:rowOff>4761</xdr:rowOff>
    </xdr:from>
    <xdr:to>
      <xdr:col>5</xdr:col>
      <xdr:colOff>0</xdr:colOff>
      <xdr:row>65</xdr:row>
      <xdr:rowOff>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C29FAE93-D7B8-6587-2BD4-D36296FBD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81643</xdr:colOff>
      <xdr:row>51</xdr:row>
      <xdr:rowOff>240844</xdr:rowOff>
    </xdr:from>
    <xdr:to>
      <xdr:col>9</xdr:col>
      <xdr:colOff>598715</xdr:colOff>
      <xdr:row>65</xdr:row>
      <xdr:rowOff>-1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F087C87D-5B71-BABD-74E3-90AEB6A55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8</xdr:col>
      <xdr:colOff>390525</xdr:colOff>
      <xdr:row>71</xdr:row>
      <xdr:rowOff>366712</xdr:rowOff>
    </xdr:from>
    <xdr:ext cx="65" cy="172227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3519D80E-08B2-463E-B5EC-C90BB7B5C4F0}"/>
            </a:ext>
          </a:extLst>
        </xdr:cNvPr>
        <xdr:cNvSpPr txBox="1"/>
      </xdr:nvSpPr>
      <xdr:spPr>
        <a:xfrm>
          <a:off x="13658290" y="696697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ru-RU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7"/>
  <sheetViews>
    <sheetView tabSelected="1" topLeftCell="F59" zoomScale="68" zoomScaleNormal="40" workbookViewId="0">
      <selection activeCell="G68" sqref="G68"/>
    </sheetView>
  </sheetViews>
  <sheetFormatPr defaultColWidth="9.1328125" defaultRowHeight="17.649999999999999" x14ac:dyDescent="0.45"/>
  <cols>
    <col min="1" max="1" width="9.796875" style="1" bestFit="1" customWidth="1"/>
    <col min="2" max="2" width="24.3984375" style="1" customWidth="1"/>
    <col min="3" max="3" width="27.265625" style="1" customWidth="1"/>
    <col min="4" max="4" width="29.59765625" style="1" customWidth="1"/>
    <col min="5" max="5" width="31.265625" style="1" customWidth="1"/>
    <col min="6" max="6" width="29.59765625" style="1" customWidth="1"/>
    <col min="7" max="7" width="32.265625" style="1" customWidth="1"/>
    <col min="8" max="8" width="15.06640625" style="1" bestFit="1" customWidth="1"/>
    <col min="9" max="9" width="13.86328125" style="1" customWidth="1"/>
    <col min="10" max="10" width="37.33203125" style="2" bestFit="1" customWidth="1"/>
    <col min="11" max="11" width="20.59765625" style="2" customWidth="1"/>
    <col min="12" max="12" width="16.1328125" style="2" customWidth="1"/>
    <col min="13" max="13" width="14.19921875" style="2" bestFit="1" customWidth="1"/>
    <col min="14" max="14" width="47.19921875" style="2" bestFit="1" customWidth="1"/>
    <col min="15" max="15" width="31.19921875" style="2" bestFit="1" customWidth="1"/>
    <col min="16" max="16" width="23.73046875" style="2" bestFit="1" customWidth="1"/>
    <col min="17" max="17" width="9" style="2" customWidth="1"/>
    <col min="18" max="18" width="22.265625" style="2" bestFit="1" customWidth="1"/>
    <col min="19" max="19" width="9" style="2" customWidth="1"/>
    <col min="20" max="16384" width="9.1328125" style="2"/>
  </cols>
  <sheetData>
    <row r="1" spans="1:13" x14ac:dyDescent="0.45">
      <c r="A1" s="14">
        <v>9.2123000000000008</v>
      </c>
      <c r="B1" s="14">
        <v>13.9594</v>
      </c>
      <c r="C1" s="14">
        <v>14.057499999999999</v>
      </c>
      <c r="D1" s="14">
        <v>11.4175</v>
      </c>
      <c r="E1" s="14">
        <v>14.057499999999999</v>
      </c>
      <c r="F1" s="14">
        <v>12.819800000000001</v>
      </c>
      <c r="G1" s="14">
        <v>10.161799999999999</v>
      </c>
      <c r="H1" s="14">
        <v>10.161799999999999</v>
      </c>
      <c r="J1" s="7" t="s">
        <v>2</v>
      </c>
      <c r="K1" s="15">
        <f>MIN(A1:H27)</f>
        <v>4.8099999999999996</v>
      </c>
      <c r="M1" s="7" t="s">
        <v>53</v>
      </c>
    </row>
    <row r="2" spans="1:13" x14ac:dyDescent="0.45">
      <c r="A2" s="14">
        <v>4.8099999999999996</v>
      </c>
      <c r="B2" s="14">
        <v>15.366099999999999</v>
      </c>
      <c r="C2" s="14">
        <v>8.2721999999999998</v>
      </c>
      <c r="D2" s="14">
        <v>12.8217</v>
      </c>
      <c r="E2" s="14">
        <v>8.2721999999999998</v>
      </c>
      <c r="F2" s="14">
        <v>15.500299999999999</v>
      </c>
      <c r="G2" s="14">
        <v>13.9101</v>
      </c>
      <c r="H2" s="14">
        <v>13.9101</v>
      </c>
      <c r="J2" s="7" t="s">
        <v>3</v>
      </c>
      <c r="K2" s="15">
        <f>MAX(A1:H27)</f>
        <v>15.941800000000001</v>
      </c>
      <c r="M2" s="15">
        <f>K2-K1</f>
        <v>11.131800000000002</v>
      </c>
    </row>
    <row r="3" spans="1:13" x14ac:dyDescent="0.45">
      <c r="A3" s="14">
        <v>5.8636999999999997</v>
      </c>
      <c r="B3" s="14">
        <v>15.593400000000001</v>
      </c>
      <c r="C3" s="14">
        <v>8.0953999999999997</v>
      </c>
      <c r="D3" s="14">
        <v>15.941800000000001</v>
      </c>
      <c r="E3" s="14">
        <v>8.0953999999999997</v>
      </c>
      <c r="F3" s="14">
        <v>12.2019</v>
      </c>
      <c r="G3" s="14">
        <v>10.2811</v>
      </c>
      <c r="H3" s="14">
        <v>10.2811</v>
      </c>
    </row>
    <row r="4" spans="1:13" x14ac:dyDescent="0.45">
      <c r="A4" s="14">
        <v>9.4540000000000006</v>
      </c>
      <c r="B4" s="14">
        <v>9.5409000000000006</v>
      </c>
      <c r="C4" s="14">
        <v>10.665900000000001</v>
      </c>
      <c r="D4" s="14">
        <v>15.8583</v>
      </c>
      <c r="E4" s="14">
        <v>10.665900000000001</v>
      </c>
      <c r="F4" s="14">
        <v>13.671200000000001</v>
      </c>
      <c r="G4" s="14">
        <v>10.5228</v>
      </c>
      <c r="H4" s="14">
        <v>10.5228</v>
      </c>
      <c r="J4" s="7" t="s">
        <v>14</v>
      </c>
      <c r="K4" s="7">
        <v>4</v>
      </c>
    </row>
    <row r="5" spans="1:13" x14ac:dyDescent="0.45">
      <c r="A5" s="14">
        <v>11.4254</v>
      </c>
      <c r="B5" s="14">
        <v>8.3315999999999999</v>
      </c>
      <c r="C5" s="14">
        <v>10.0686</v>
      </c>
      <c r="D5" s="14">
        <v>8.2392000000000003</v>
      </c>
      <c r="E5" s="14">
        <v>10.0686</v>
      </c>
      <c r="F5" s="14">
        <v>13.5143</v>
      </c>
      <c r="G5" s="14">
        <v>12.8545</v>
      </c>
      <c r="H5" s="14">
        <v>12.8545</v>
      </c>
      <c r="J5" s="7" t="s">
        <v>15</v>
      </c>
      <c r="K5" s="7">
        <v>16</v>
      </c>
    </row>
    <row r="6" spans="1:13" x14ac:dyDescent="0.45">
      <c r="A6" s="14">
        <v>11.316800000000001</v>
      </c>
      <c r="B6" s="14">
        <v>12.9236</v>
      </c>
      <c r="C6" s="14">
        <v>15.0999</v>
      </c>
      <c r="D6" s="14">
        <v>13.0472</v>
      </c>
      <c r="E6" s="14">
        <v>15.0999</v>
      </c>
      <c r="F6" s="14">
        <v>12.770300000000001</v>
      </c>
      <c r="G6" s="14">
        <v>14.3805</v>
      </c>
      <c r="H6" s="14">
        <v>14.3805</v>
      </c>
    </row>
    <row r="7" spans="1:13" x14ac:dyDescent="0.45">
      <c r="A7" s="14">
        <v>10.614699999999999</v>
      </c>
      <c r="B7" s="14">
        <v>15.013400000000001</v>
      </c>
      <c r="C7" s="14">
        <v>10.6242</v>
      </c>
      <c r="D7" s="14">
        <v>9.6582000000000008</v>
      </c>
      <c r="E7" s="14">
        <v>15.3781</v>
      </c>
      <c r="F7" s="14">
        <v>11.3309</v>
      </c>
      <c r="G7" s="14">
        <v>9.8828999999999994</v>
      </c>
      <c r="H7" s="14">
        <v>9.8828999999999994</v>
      </c>
      <c r="J7" s="7" t="s">
        <v>16</v>
      </c>
      <c r="K7" s="7">
        <v>20</v>
      </c>
    </row>
    <row r="8" spans="1:13" x14ac:dyDescent="0.45">
      <c r="A8" s="14">
        <v>8.9429999999999996</v>
      </c>
      <c r="B8" s="14">
        <v>12.433199999999999</v>
      </c>
      <c r="C8" s="14">
        <v>10.074299999999999</v>
      </c>
      <c r="D8" s="14">
        <v>8.3908000000000005</v>
      </c>
      <c r="E8" s="14">
        <v>15.286199999999999</v>
      </c>
      <c r="F8" s="14">
        <v>11.8347</v>
      </c>
      <c r="G8" s="14">
        <v>12.117699999999999</v>
      </c>
      <c r="H8" s="14">
        <v>12.117699999999999</v>
      </c>
    </row>
    <row r="9" spans="1:13" x14ac:dyDescent="0.45">
      <c r="A9" s="14">
        <v>14.8344</v>
      </c>
      <c r="B9" s="14">
        <v>10.715</v>
      </c>
      <c r="C9" s="14">
        <v>14.891999999999999</v>
      </c>
      <c r="D9" s="14">
        <v>10.1311</v>
      </c>
      <c r="E9" s="14">
        <v>13.4442</v>
      </c>
      <c r="F9" s="14">
        <v>13.657</v>
      </c>
      <c r="G9" s="14">
        <v>12.2407</v>
      </c>
      <c r="H9" s="14">
        <v>12.2407</v>
      </c>
      <c r="J9" s="7" t="s">
        <v>21</v>
      </c>
      <c r="K9" s="7">
        <f>(K5-K4)/K7</f>
        <v>0.6</v>
      </c>
    </row>
    <row r="10" spans="1:13" x14ac:dyDescent="0.45">
      <c r="A10" s="14">
        <v>9.6580999999999992</v>
      </c>
      <c r="B10" s="14">
        <v>13.141500000000001</v>
      </c>
      <c r="C10" s="14">
        <v>10.135199999999999</v>
      </c>
      <c r="D10" s="14">
        <v>13.4598</v>
      </c>
      <c r="E10" s="14">
        <v>14.4345</v>
      </c>
      <c r="F10" s="14">
        <v>9.3683999999999994</v>
      </c>
      <c r="G10" s="14">
        <v>10.986599999999999</v>
      </c>
      <c r="H10" s="14">
        <v>12.563700000000001</v>
      </c>
    </row>
    <row r="11" spans="1:13" x14ac:dyDescent="0.45">
      <c r="A11" s="14">
        <v>13.410299999999999</v>
      </c>
      <c r="B11" s="14">
        <v>8.0250000000000004</v>
      </c>
      <c r="C11" s="14">
        <v>15.898999999999999</v>
      </c>
      <c r="D11" s="14">
        <v>14.534700000000001</v>
      </c>
      <c r="E11" s="14">
        <v>9.9680999999999997</v>
      </c>
      <c r="F11" s="14">
        <v>13.6197</v>
      </c>
      <c r="G11" s="14">
        <v>15.226900000000001</v>
      </c>
      <c r="H11" s="14">
        <v>8.8729999999999993</v>
      </c>
    </row>
    <row r="12" spans="1:13" x14ac:dyDescent="0.45">
      <c r="A12" s="14">
        <v>12.9107</v>
      </c>
      <c r="B12" s="14">
        <v>8.4100999999999999</v>
      </c>
      <c r="C12" s="14" t="s">
        <v>0</v>
      </c>
      <c r="D12" s="14">
        <v>15.2058</v>
      </c>
      <c r="E12" s="14">
        <v>14.8758</v>
      </c>
      <c r="F12" s="14">
        <v>8.5502000000000002</v>
      </c>
      <c r="G12" s="14">
        <v>10.5328</v>
      </c>
      <c r="H12" s="14">
        <v>8.7805999999999997</v>
      </c>
    </row>
    <row r="13" spans="1:13" x14ac:dyDescent="0.45">
      <c r="A13" s="14">
        <v>13.0802</v>
      </c>
      <c r="B13" s="14">
        <v>12.154500000000001</v>
      </c>
      <c r="C13" s="14">
        <v>8.1931999999999992</v>
      </c>
      <c r="D13" s="14">
        <v>10.0129</v>
      </c>
      <c r="E13" s="14">
        <v>9.2866999999999997</v>
      </c>
      <c r="F13" s="14">
        <v>14.3146</v>
      </c>
      <c r="G13" s="14">
        <v>12.365399999999999</v>
      </c>
      <c r="H13" s="14">
        <v>8.9817999999999998</v>
      </c>
    </row>
    <row r="14" spans="1:13" x14ac:dyDescent="0.45">
      <c r="A14" s="14">
        <v>11.9076</v>
      </c>
      <c r="B14" s="14">
        <v>8.1818000000000008</v>
      </c>
      <c r="C14" s="14">
        <v>12.3888</v>
      </c>
      <c r="D14" s="14">
        <v>10.4993</v>
      </c>
      <c r="E14" s="14">
        <v>14.1286</v>
      </c>
      <c r="F14" s="14">
        <v>15.488</v>
      </c>
      <c r="G14" s="14">
        <v>14.5213</v>
      </c>
      <c r="H14" s="14">
        <v>14.3826</v>
      </c>
    </row>
    <row r="15" spans="1:13" x14ac:dyDescent="0.45">
      <c r="A15" s="14">
        <v>15.7318</v>
      </c>
      <c r="B15" s="14">
        <v>12.0326</v>
      </c>
      <c r="C15" s="14">
        <v>11.298299999999999</v>
      </c>
      <c r="D15" s="14">
        <v>11.467700000000001</v>
      </c>
      <c r="E15" s="14">
        <v>10.9536</v>
      </c>
      <c r="F15" s="14">
        <v>14.502000000000001</v>
      </c>
      <c r="G15" s="14">
        <v>9.4560999999999993</v>
      </c>
      <c r="H15" s="14" t="s">
        <v>1</v>
      </c>
      <c r="J15" s="28"/>
    </row>
    <row r="16" spans="1:13" x14ac:dyDescent="0.45">
      <c r="A16" s="14">
        <v>15.4665</v>
      </c>
      <c r="B16" s="14">
        <v>12.3804</v>
      </c>
      <c r="C16" s="14">
        <v>12.6005</v>
      </c>
      <c r="D16" s="14">
        <v>15.8019</v>
      </c>
      <c r="E16" s="14">
        <v>12.108499999999999</v>
      </c>
      <c r="F16" s="14">
        <v>11.164400000000001</v>
      </c>
      <c r="G16" s="14">
        <v>11.112299999999999</v>
      </c>
      <c r="H16" s="14">
        <v>8.8591999999999995</v>
      </c>
    </row>
    <row r="17" spans="1:18" x14ac:dyDescent="0.45">
      <c r="A17" s="14">
        <v>10.497400000000001</v>
      </c>
      <c r="B17" s="14">
        <v>14.169600000000001</v>
      </c>
      <c r="C17" s="14">
        <v>12.7616</v>
      </c>
      <c r="D17" s="14">
        <v>11.2895</v>
      </c>
      <c r="E17" s="14">
        <v>12.498799999999999</v>
      </c>
      <c r="F17" s="14">
        <v>12.6495</v>
      </c>
      <c r="G17" s="14">
        <v>14.735799999999999</v>
      </c>
      <c r="H17" s="14">
        <v>10.091100000000001</v>
      </c>
    </row>
    <row r="18" spans="1:18" x14ac:dyDescent="0.45">
      <c r="A18" s="14">
        <v>8.4643999999999995</v>
      </c>
      <c r="B18" s="14">
        <v>15.4511</v>
      </c>
      <c r="C18" s="14">
        <v>12.3886</v>
      </c>
      <c r="D18" s="14">
        <v>13.367900000000001</v>
      </c>
      <c r="E18" s="14">
        <v>8.2040000000000006</v>
      </c>
      <c r="F18" s="14">
        <v>10.6745</v>
      </c>
      <c r="G18" s="14">
        <v>9.0334000000000003</v>
      </c>
      <c r="H18" s="14">
        <v>12.2692</v>
      </c>
    </row>
    <row r="19" spans="1:18" x14ac:dyDescent="0.45">
      <c r="A19" s="14">
        <v>13.097300000000001</v>
      </c>
      <c r="B19" s="14">
        <v>14.6518</v>
      </c>
      <c r="C19" s="14">
        <v>10.2087</v>
      </c>
      <c r="D19" s="14">
        <v>11.5357</v>
      </c>
      <c r="E19" s="14">
        <v>11.2921</v>
      </c>
      <c r="F19" s="14">
        <v>12.739100000000001</v>
      </c>
      <c r="G19" s="14">
        <v>8.9778000000000002</v>
      </c>
      <c r="H19" s="14">
        <v>15.4702</v>
      </c>
    </row>
    <row r="20" spans="1:18" x14ac:dyDescent="0.45">
      <c r="A20" s="14">
        <v>11.599299999999999</v>
      </c>
      <c r="B20" s="14">
        <v>9.5916999999999994</v>
      </c>
      <c r="C20" s="14">
        <v>10.541600000000001</v>
      </c>
      <c r="D20" s="14">
        <v>12.260999999999999</v>
      </c>
      <c r="E20" s="14">
        <v>11.8247</v>
      </c>
      <c r="F20" s="14">
        <v>14.414899999999999</v>
      </c>
      <c r="G20" s="14">
        <v>13.8996</v>
      </c>
      <c r="H20" s="14">
        <v>12.1625</v>
      </c>
    </row>
    <row r="21" spans="1:18" x14ac:dyDescent="0.45">
      <c r="A21" s="14">
        <v>8.3392999999999997</v>
      </c>
      <c r="B21" s="14">
        <v>9.3193000000000001</v>
      </c>
      <c r="C21" s="14">
        <v>8.0937999999999999</v>
      </c>
      <c r="D21" s="14">
        <v>15.4038</v>
      </c>
      <c r="E21" s="14">
        <v>8.1302000000000003</v>
      </c>
      <c r="F21" s="14">
        <v>11.466200000000001</v>
      </c>
      <c r="G21" s="14">
        <v>11.61</v>
      </c>
      <c r="H21" s="14">
        <v>11.4124</v>
      </c>
    </row>
    <row r="22" spans="1:18" x14ac:dyDescent="0.45">
      <c r="A22" s="14">
        <v>11.866400000000001</v>
      </c>
      <c r="B22" s="14">
        <v>9.7286999999999999</v>
      </c>
      <c r="C22" s="14">
        <v>15.5509</v>
      </c>
      <c r="D22" s="14">
        <v>11.7233</v>
      </c>
      <c r="E22" s="14">
        <v>12.108599999999999</v>
      </c>
      <c r="F22" s="14">
        <v>8.2540999999999993</v>
      </c>
      <c r="G22" s="14">
        <v>15.3371</v>
      </c>
      <c r="H22" s="14">
        <v>13.139699999999999</v>
      </c>
    </row>
    <row r="23" spans="1:18" x14ac:dyDescent="0.45">
      <c r="A23" s="14">
        <v>11.2254</v>
      </c>
      <c r="B23" s="14">
        <v>11.1686</v>
      </c>
      <c r="C23" s="14">
        <v>11.295999999999999</v>
      </c>
      <c r="D23" s="14">
        <v>10.462</v>
      </c>
      <c r="E23" s="14">
        <v>14.1381</v>
      </c>
      <c r="F23" s="14">
        <v>10.285600000000001</v>
      </c>
      <c r="G23" s="14">
        <v>14.7578</v>
      </c>
      <c r="H23" s="14">
        <v>13.517200000000001</v>
      </c>
    </row>
    <row r="24" spans="1:18" x14ac:dyDescent="0.45">
      <c r="A24" s="14">
        <v>11.698399999999999</v>
      </c>
      <c r="B24" s="14">
        <v>14.951000000000001</v>
      </c>
      <c r="C24" s="14">
        <v>9.782</v>
      </c>
      <c r="D24" s="14">
        <v>10.7157</v>
      </c>
      <c r="E24" s="14">
        <v>12.595800000000001</v>
      </c>
      <c r="F24" s="14">
        <v>14.031700000000001</v>
      </c>
      <c r="G24" s="14">
        <v>15.1684</v>
      </c>
      <c r="H24" s="14">
        <v>8.5366999999999997</v>
      </c>
    </row>
    <row r="25" spans="1:18" x14ac:dyDescent="0.45">
      <c r="A25" s="14">
        <v>12.0967</v>
      </c>
      <c r="B25" s="14">
        <v>8.3160000000000007</v>
      </c>
      <c r="C25" s="14">
        <v>14.0068</v>
      </c>
      <c r="D25" s="14">
        <v>8.1214999999999993</v>
      </c>
      <c r="E25" s="14">
        <v>13.9274</v>
      </c>
      <c r="F25" s="14">
        <v>8.8985000000000003</v>
      </c>
      <c r="G25" s="14">
        <v>9.6934000000000005</v>
      </c>
      <c r="H25" s="14">
        <v>11.1411</v>
      </c>
    </row>
    <row r="26" spans="1:18" x14ac:dyDescent="0.45">
      <c r="A26" s="14">
        <v>12.184100000000001</v>
      </c>
      <c r="B26" s="14">
        <v>14.8125</v>
      </c>
      <c r="C26" s="14">
        <v>11.7202</v>
      </c>
      <c r="D26" s="14">
        <v>13.273099999999999</v>
      </c>
      <c r="E26" s="14">
        <v>14.2323</v>
      </c>
      <c r="F26" s="14">
        <v>13.3025</v>
      </c>
      <c r="G26" s="14">
        <v>15.1759</v>
      </c>
      <c r="H26" s="14">
        <v>12.171900000000001</v>
      </c>
    </row>
    <row r="27" spans="1:18" x14ac:dyDescent="0.45">
      <c r="A27" s="14">
        <v>10.0306</v>
      </c>
      <c r="B27" s="14">
        <v>10.5786</v>
      </c>
      <c r="C27" s="14">
        <v>13.454499999999999</v>
      </c>
      <c r="D27" s="14">
        <v>14.870799999999999</v>
      </c>
      <c r="E27" s="14">
        <v>10.9695</v>
      </c>
      <c r="F27" s="14">
        <v>13.273099999999999</v>
      </c>
      <c r="G27" s="14">
        <v>10.0306</v>
      </c>
      <c r="H27" s="14">
        <v>9.6934000000000005</v>
      </c>
    </row>
    <row r="28" spans="1:18" ht="18" thickBot="1" x14ac:dyDescent="0.5">
      <c r="Q28" s="41"/>
      <c r="R28" s="41"/>
    </row>
    <row r="29" spans="1:18" s="3" customFormat="1" ht="35.25" x14ac:dyDescent="0.45">
      <c r="A29" s="10" t="s">
        <v>4</v>
      </c>
      <c r="B29" s="11" t="s">
        <v>17</v>
      </c>
      <c r="C29" s="11" t="s">
        <v>18</v>
      </c>
      <c r="D29" s="11" t="s">
        <v>5</v>
      </c>
      <c r="E29" s="11" t="s">
        <v>19</v>
      </c>
      <c r="F29" s="11" t="s">
        <v>20</v>
      </c>
      <c r="G29" s="11" t="s">
        <v>6</v>
      </c>
      <c r="H29" s="11" t="s">
        <v>7</v>
      </c>
      <c r="I29" s="11" t="s">
        <v>8</v>
      </c>
      <c r="J29" s="11" t="s">
        <v>9</v>
      </c>
      <c r="K29" s="11" t="s">
        <v>10</v>
      </c>
      <c r="L29" s="11" t="s">
        <v>11</v>
      </c>
      <c r="M29" s="11" t="s">
        <v>12</v>
      </c>
      <c r="N29" s="24" t="s">
        <v>13</v>
      </c>
      <c r="O29" s="39" t="s">
        <v>24</v>
      </c>
    </row>
    <row r="30" spans="1:18" s="3" customFormat="1" ht="18" thickBot="1" x14ac:dyDescent="0.5">
      <c r="A30" s="12">
        <v>1</v>
      </c>
      <c r="B30" s="55">
        <v>2</v>
      </c>
      <c r="C30" s="55"/>
      <c r="D30" s="13">
        <v>3</v>
      </c>
      <c r="E30" s="55">
        <v>4</v>
      </c>
      <c r="F30" s="55"/>
      <c r="G30" s="13">
        <v>5</v>
      </c>
      <c r="H30" s="13">
        <v>6</v>
      </c>
      <c r="I30" s="13">
        <v>7</v>
      </c>
      <c r="J30" s="13">
        <v>8</v>
      </c>
      <c r="K30" s="13">
        <v>9</v>
      </c>
      <c r="L30" s="13">
        <v>10</v>
      </c>
      <c r="M30" s="13">
        <v>11</v>
      </c>
      <c r="N30" s="25">
        <v>12</v>
      </c>
      <c r="O30" s="40"/>
    </row>
    <row r="31" spans="1:18" s="3" customFormat="1" x14ac:dyDescent="0.45">
      <c r="A31" s="8">
        <v>1</v>
      </c>
      <c r="B31" s="8">
        <f>$K$4*A31</f>
        <v>4</v>
      </c>
      <c r="C31" s="16">
        <f>B31+$K$9</f>
        <v>4.5999999999999996</v>
      </c>
      <c r="D31" s="18">
        <f t="shared" ref="D31:D50" si="0">COUNTIFS($A$1:$H$27,"&gt;="&amp;B31,$A$1:$H$27,"&lt;"&amp;C31)</f>
        <v>0</v>
      </c>
      <c r="E31" s="8">
        <v>7.6</v>
      </c>
      <c r="F31" s="16">
        <v>8.1999999999999993</v>
      </c>
      <c r="G31" s="17">
        <f t="shared" ref="G31:G44" si="1">COUNTIFS($A$1:$H$27,"&gt;="&amp;E31,$A$1:$H$27,"&lt;"&amp;F31)</f>
        <v>8</v>
      </c>
      <c r="H31" s="9">
        <f>G31/$G$51</f>
        <v>3.7735849056603772E-2</v>
      </c>
      <c r="I31" s="9">
        <f>AVERAGE(E31:F31)</f>
        <v>7.8999999999999995</v>
      </c>
      <c r="J31" s="9">
        <v>0</v>
      </c>
      <c r="K31" s="9">
        <f>$I31*$H31</f>
        <v>0.2981132075471698</v>
      </c>
      <c r="L31" s="9">
        <f>($I31^2)*$H31</f>
        <v>2.3550943396226409</v>
      </c>
      <c r="M31" s="9">
        <f>($I31^3)*$H31</f>
        <v>18.605245283018863</v>
      </c>
      <c r="N31" s="26">
        <f>($I31^4)*$H31</f>
        <v>146.981437735849</v>
      </c>
      <c r="O31" s="16">
        <f>H31/(F31-E31)</f>
        <v>6.2893081761006331E-2</v>
      </c>
    </row>
    <row r="32" spans="1:18" s="3" customFormat="1" x14ac:dyDescent="0.45">
      <c r="A32" s="5">
        <v>2</v>
      </c>
      <c r="B32" s="8">
        <f>C31</f>
        <v>4.5999999999999996</v>
      </c>
      <c r="C32" s="16">
        <f>B32+$K$9</f>
        <v>5.1999999999999993</v>
      </c>
      <c r="D32" s="18">
        <f t="shared" si="0"/>
        <v>1</v>
      </c>
      <c r="E32" s="8">
        <f t="shared" ref="E32:E44" si="2">F31</f>
        <v>8.1999999999999993</v>
      </c>
      <c r="F32" s="16">
        <f t="shared" ref="F32:F44" si="3">E32+$K$9</f>
        <v>8.7999999999999989</v>
      </c>
      <c r="G32" s="17">
        <f t="shared" si="1"/>
        <v>14</v>
      </c>
      <c r="H32" s="9">
        <f t="shared" ref="H32:H44" si="4">G32/$G$51</f>
        <v>6.6037735849056603E-2</v>
      </c>
      <c r="I32" s="9">
        <f t="shared" ref="I32:I44" si="5">AVERAGE(E32:F32)</f>
        <v>8.5</v>
      </c>
      <c r="J32" s="4">
        <f>J31+H31</f>
        <v>3.7735849056603772E-2</v>
      </c>
      <c r="K32" s="9">
        <f t="shared" ref="K32:K44" si="6">$I32*$H32</f>
        <v>0.56132075471698117</v>
      </c>
      <c r="L32" s="9">
        <f t="shared" ref="L32:L44" si="7">($I32^2)*$H32</f>
        <v>4.7712264150943398</v>
      </c>
      <c r="M32" s="9">
        <f t="shared" ref="M32:M44" si="8">($I32^3)*$H32</f>
        <v>40.555424528301884</v>
      </c>
      <c r="N32" s="26">
        <f t="shared" ref="N32:N44" si="9">($I32^4)*$H32</f>
        <v>344.72110849056605</v>
      </c>
      <c r="O32" s="7">
        <f t="shared" ref="O32:O44" si="10">H32/(F32-E32)</f>
        <v>0.11006289308176107</v>
      </c>
    </row>
    <row r="33" spans="1:18" s="3" customFormat="1" x14ac:dyDescent="0.45">
      <c r="A33" s="4">
        <v>3</v>
      </c>
      <c r="B33" s="8">
        <f t="shared" ref="B33:B50" si="11">C32</f>
        <v>5.1999999999999993</v>
      </c>
      <c r="C33" s="16">
        <f t="shared" ref="C33:C50" si="12">B33+$K$9</f>
        <v>5.7999999999999989</v>
      </c>
      <c r="D33" s="18">
        <f t="shared" si="0"/>
        <v>0</v>
      </c>
      <c r="E33" s="8">
        <f t="shared" si="2"/>
        <v>8.7999999999999989</v>
      </c>
      <c r="F33" s="16">
        <f t="shared" si="3"/>
        <v>9.3999999999999986</v>
      </c>
      <c r="G33" s="17">
        <f t="shared" si="1"/>
        <v>11</v>
      </c>
      <c r="H33" s="9">
        <f t="shared" si="4"/>
        <v>5.1886792452830191E-2</v>
      </c>
      <c r="I33" s="9">
        <f t="shared" si="5"/>
        <v>9.0999999999999979</v>
      </c>
      <c r="J33" s="4">
        <f>J32+H32</f>
        <v>0.10377358490566038</v>
      </c>
      <c r="K33" s="9">
        <f t="shared" si="6"/>
        <v>0.47216981132075464</v>
      </c>
      <c r="L33" s="9">
        <f t="shared" si="7"/>
        <v>4.2967452830188657</v>
      </c>
      <c r="M33" s="9">
        <f t="shared" si="8"/>
        <v>39.100382075471671</v>
      </c>
      <c r="N33" s="26">
        <f t="shared" si="9"/>
        <v>355.8134768867921</v>
      </c>
      <c r="O33" s="7">
        <f t="shared" si="10"/>
        <v>8.6477987421383698E-2</v>
      </c>
    </row>
    <row r="34" spans="1:18" s="3" customFormat="1" x14ac:dyDescent="0.45">
      <c r="A34" s="5">
        <v>4</v>
      </c>
      <c r="B34" s="8">
        <f t="shared" si="11"/>
        <v>5.7999999999999989</v>
      </c>
      <c r="C34" s="16">
        <f t="shared" si="12"/>
        <v>6.3999999999999986</v>
      </c>
      <c r="D34" s="18">
        <f t="shared" si="0"/>
        <v>1</v>
      </c>
      <c r="E34" s="8">
        <f t="shared" si="2"/>
        <v>9.3999999999999986</v>
      </c>
      <c r="F34" s="16">
        <f t="shared" si="3"/>
        <v>9.9999999999999982</v>
      </c>
      <c r="G34" s="17">
        <f t="shared" si="1"/>
        <v>13</v>
      </c>
      <c r="H34" s="9">
        <f t="shared" si="4"/>
        <v>6.1320754716981132E-2</v>
      </c>
      <c r="I34" s="9">
        <f t="shared" si="5"/>
        <v>9.6999999999999993</v>
      </c>
      <c r="J34" s="4">
        <f t="shared" ref="J34:J44" si="13">J33+H33</f>
        <v>0.15566037735849059</v>
      </c>
      <c r="K34" s="9">
        <f t="shared" si="6"/>
        <v>0.59481132075471699</v>
      </c>
      <c r="L34" s="9">
        <f t="shared" si="7"/>
        <v>5.7696698113207541</v>
      </c>
      <c r="M34" s="9">
        <f t="shared" si="8"/>
        <v>55.96579716981131</v>
      </c>
      <c r="N34" s="26">
        <f t="shared" si="9"/>
        <v>542.86823254716967</v>
      </c>
      <c r="O34" s="7">
        <f t="shared" si="10"/>
        <v>0.10220125786163528</v>
      </c>
    </row>
    <row r="35" spans="1:18" x14ac:dyDescent="0.45">
      <c r="A35" s="5">
        <v>5</v>
      </c>
      <c r="B35" s="8">
        <f t="shared" si="11"/>
        <v>6.3999999999999986</v>
      </c>
      <c r="C35" s="16">
        <f t="shared" si="12"/>
        <v>6.9999999999999982</v>
      </c>
      <c r="D35" s="18">
        <f t="shared" si="0"/>
        <v>0</v>
      </c>
      <c r="E35" s="8">
        <f t="shared" si="2"/>
        <v>9.9999999999999982</v>
      </c>
      <c r="F35" s="16">
        <f t="shared" si="3"/>
        <v>10.599999999999998</v>
      </c>
      <c r="G35" s="17">
        <f t="shared" si="1"/>
        <v>23</v>
      </c>
      <c r="H35" s="9">
        <f t="shared" si="4"/>
        <v>0.10849056603773585</v>
      </c>
      <c r="I35" s="9">
        <f t="shared" si="5"/>
        <v>10.299999999999997</v>
      </c>
      <c r="J35" s="4">
        <f t="shared" si="13"/>
        <v>0.21698113207547171</v>
      </c>
      <c r="K35" s="9">
        <f t="shared" si="6"/>
        <v>1.117452830188679</v>
      </c>
      <c r="L35" s="9">
        <f t="shared" si="7"/>
        <v>11.509764150943392</v>
      </c>
      <c r="M35" s="9">
        <f t="shared" si="8"/>
        <v>118.5505707547169</v>
      </c>
      <c r="N35" s="26">
        <f t="shared" si="9"/>
        <v>1221.0708787735837</v>
      </c>
      <c r="O35" s="7">
        <f t="shared" si="10"/>
        <v>0.18081761006289321</v>
      </c>
      <c r="Q35" s="3"/>
      <c r="R35" s="3"/>
    </row>
    <row r="36" spans="1:18" x14ac:dyDescent="0.45">
      <c r="A36" s="4">
        <v>6</v>
      </c>
      <c r="B36" s="8">
        <f t="shared" si="11"/>
        <v>6.9999999999999982</v>
      </c>
      <c r="C36" s="16">
        <f t="shared" si="12"/>
        <v>7.5999999999999979</v>
      </c>
      <c r="D36" s="18">
        <f t="shared" si="0"/>
        <v>0</v>
      </c>
      <c r="E36" s="8">
        <f t="shared" si="2"/>
        <v>10.599999999999998</v>
      </c>
      <c r="F36" s="16">
        <f t="shared" si="3"/>
        <v>11.199999999999998</v>
      </c>
      <c r="G36" s="17">
        <f t="shared" si="1"/>
        <v>14</v>
      </c>
      <c r="H36" s="9">
        <f t="shared" si="4"/>
        <v>6.6037735849056603E-2</v>
      </c>
      <c r="I36" s="9">
        <f t="shared" si="5"/>
        <v>10.899999999999999</v>
      </c>
      <c r="J36" s="4">
        <f t="shared" si="13"/>
        <v>0.32547169811320753</v>
      </c>
      <c r="K36" s="9">
        <f t="shared" si="6"/>
        <v>0.71981132075471688</v>
      </c>
      <c r="L36" s="9">
        <f t="shared" si="7"/>
        <v>7.8459433962264136</v>
      </c>
      <c r="M36" s="9">
        <f t="shared" si="8"/>
        <v>85.520783018867888</v>
      </c>
      <c r="N36" s="26">
        <f t="shared" si="9"/>
        <v>932.17653490565999</v>
      </c>
      <c r="O36" s="7">
        <f t="shared" si="10"/>
        <v>0.11006289308176107</v>
      </c>
      <c r="Q36" s="3"/>
      <c r="R36" s="3"/>
    </row>
    <row r="37" spans="1:18" x14ac:dyDescent="0.45">
      <c r="A37" s="5">
        <v>7</v>
      </c>
      <c r="B37" s="8">
        <f t="shared" si="11"/>
        <v>7.5999999999999979</v>
      </c>
      <c r="C37" s="16">
        <f t="shared" si="12"/>
        <v>8.1999999999999975</v>
      </c>
      <c r="D37" s="17">
        <f t="shared" si="0"/>
        <v>8</v>
      </c>
      <c r="E37" s="8">
        <f t="shared" si="2"/>
        <v>11.199999999999998</v>
      </c>
      <c r="F37" s="16">
        <f t="shared" si="3"/>
        <v>11.799999999999997</v>
      </c>
      <c r="G37" s="17">
        <f t="shared" si="1"/>
        <v>18</v>
      </c>
      <c r="H37" s="9">
        <f t="shared" si="4"/>
        <v>8.4905660377358486E-2</v>
      </c>
      <c r="I37" s="9">
        <f t="shared" si="5"/>
        <v>11.499999999999996</v>
      </c>
      <c r="J37" s="4">
        <f t="shared" si="13"/>
        <v>0.39150943396226412</v>
      </c>
      <c r="K37" s="9">
        <f t="shared" si="6"/>
        <v>0.97641509433962226</v>
      </c>
      <c r="L37" s="9">
        <f t="shared" si="7"/>
        <v>11.228773584905653</v>
      </c>
      <c r="M37" s="9">
        <f t="shared" si="8"/>
        <v>129.13089622641496</v>
      </c>
      <c r="N37" s="26">
        <f t="shared" si="9"/>
        <v>1485.0053066037717</v>
      </c>
      <c r="O37" s="7">
        <f t="shared" si="10"/>
        <v>0.14150943396226423</v>
      </c>
      <c r="Q37" s="3"/>
      <c r="R37" s="3"/>
    </row>
    <row r="38" spans="1:18" x14ac:dyDescent="0.45">
      <c r="A38" s="5">
        <v>8</v>
      </c>
      <c r="B38" s="8">
        <f t="shared" si="11"/>
        <v>8.1999999999999975</v>
      </c>
      <c r="C38" s="16">
        <f t="shared" si="12"/>
        <v>8.7999999999999972</v>
      </c>
      <c r="D38" s="17">
        <f t="shared" si="0"/>
        <v>14</v>
      </c>
      <c r="E38" s="8">
        <f t="shared" si="2"/>
        <v>11.799999999999997</v>
      </c>
      <c r="F38" s="16">
        <f t="shared" si="3"/>
        <v>12.399999999999997</v>
      </c>
      <c r="G38" s="17">
        <f t="shared" si="1"/>
        <v>23</v>
      </c>
      <c r="H38" s="9">
        <f t="shared" si="4"/>
        <v>0.10849056603773585</v>
      </c>
      <c r="I38" s="9">
        <f t="shared" si="5"/>
        <v>12.099999999999998</v>
      </c>
      <c r="J38" s="4">
        <f t="shared" si="13"/>
        <v>0.47641509433962259</v>
      </c>
      <c r="K38" s="9">
        <f t="shared" si="6"/>
        <v>1.3127358490566037</v>
      </c>
      <c r="L38" s="9">
        <f t="shared" si="7"/>
        <v>15.884103773584899</v>
      </c>
      <c r="M38" s="9">
        <f t="shared" si="8"/>
        <v>192.19765566037725</v>
      </c>
      <c r="N38" s="26">
        <f t="shared" si="9"/>
        <v>2325.5916334905642</v>
      </c>
      <c r="O38" s="7">
        <f t="shared" si="10"/>
        <v>0.18081761006289321</v>
      </c>
      <c r="Q38" s="3"/>
      <c r="R38" s="3"/>
    </row>
    <row r="39" spans="1:18" x14ac:dyDescent="0.45">
      <c r="A39" s="4">
        <v>9</v>
      </c>
      <c r="B39" s="8">
        <f t="shared" si="11"/>
        <v>8.7999999999999972</v>
      </c>
      <c r="C39" s="16">
        <f t="shared" si="12"/>
        <v>9.3999999999999968</v>
      </c>
      <c r="D39" s="17">
        <f t="shared" si="0"/>
        <v>11</v>
      </c>
      <c r="E39" s="8">
        <f t="shared" si="2"/>
        <v>12.399999999999997</v>
      </c>
      <c r="F39" s="16">
        <f t="shared" si="3"/>
        <v>12.999999999999996</v>
      </c>
      <c r="G39" s="17">
        <f t="shared" si="1"/>
        <v>15</v>
      </c>
      <c r="H39" s="9">
        <f t="shared" si="4"/>
        <v>7.0754716981132074E-2</v>
      </c>
      <c r="I39" s="9">
        <f t="shared" si="5"/>
        <v>12.699999999999996</v>
      </c>
      <c r="J39" s="4">
        <f t="shared" si="13"/>
        <v>0.58490566037735847</v>
      </c>
      <c r="K39" s="9">
        <f t="shared" si="6"/>
        <v>0.89858490566037708</v>
      </c>
      <c r="L39" s="9">
        <f t="shared" si="7"/>
        <v>11.412028301886783</v>
      </c>
      <c r="M39" s="9">
        <f t="shared" si="8"/>
        <v>144.9327594339621</v>
      </c>
      <c r="N39" s="26">
        <f t="shared" si="9"/>
        <v>1840.646044811318</v>
      </c>
      <c r="O39" s="7">
        <f t="shared" si="10"/>
        <v>0.11792452830188686</v>
      </c>
      <c r="Q39" s="3"/>
      <c r="R39" s="3"/>
    </row>
    <row r="40" spans="1:18" x14ac:dyDescent="0.45">
      <c r="A40" s="5">
        <v>10</v>
      </c>
      <c r="B40" s="8">
        <f t="shared" si="11"/>
        <v>9.3999999999999968</v>
      </c>
      <c r="C40" s="16">
        <f t="shared" si="12"/>
        <v>9.9999999999999964</v>
      </c>
      <c r="D40" s="17">
        <f t="shared" si="0"/>
        <v>13</v>
      </c>
      <c r="E40" s="8">
        <f t="shared" si="2"/>
        <v>12.999999999999996</v>
      </c>
      <c r="F40" s="16">
        <f t="shared" si="3"/>
        <v>13.599999999999996</v>
      </c>
      <c r="G40" s="17">
        <f t="shared" si="1"/>
        <v>15</v>
      </c>
      <c r="H40" s="9">
        <f t="shared" si="4"/>
        <v>7.0754716981132074E-2</v>
      </c>
      <c r="I40" s="9">
        <f t="shared" si="5"/>
        <v>13.299999999999997</v>
      </c>
      <c r="J40" s="4">
        <f t="shared" si="13"/>
        <v>0.65566037735849059</v>
      </c>
      <c r="K40" s="9">
        <f t="shared" si="6"/>
        <v>0.94103773584905637</v>
      </c>
      <c r="L40" s="9">
        <f t="shared" si="7"/>
        <v>12.515801886792447</v>
      </c>
      <c r="M40" s="9">
        <f t="shared" si="8"/>
        <v>166.46016509433952</v>
      </c>
      <c r="N40" s="26">
        <f t="shared" si="9"/>
        <v>2213.9201957547152</v>
      </c>
      <c r="O40" s="7">
        <f t="shared" si="10"/>
        <v>0.11792452830188686</v>
      </c>
      <c r="Q40" s="3"/>
      <c r="R40" s="3"/>
    </row>
    <row r="41" spans="1:18" x14ac:dyDescent="0.45">
      <c r="A41" s="5">
        <v>11</v>
      </c>
      <c r="B41" s="8">
        <f t="shared" si="11"/>
        <v>9.9999999999999964</v>
      </c>
      <c r="C41" s="16">
        <f t="shared" si="12"/>
        <v>10.599999999999996</v>
      </c>
      <c r="D41" s="17">
        <f t="shared" si="0"/>
        <v>23</v>
      </c>
      <c r="E41" s="8">
        <f t="shared" si="2"/>
        <v>13.599999999999996</v>
      </c>
      <c r="F41" s="16">
        <f t="shared" si="3"/>
        <v>14.199999999999996</v>
      </c>
      <c r="G41" s="17">
        <f t="shared" si="1"/>
        <v>15</v>
      </c>
      <c r="H41" s="9">
        <f t="shared" si="4"/>
        <v>7.0754716981132074E-2</v>
      </c>
      <c r="I41" s="9">
        <f t="shared" si="5"/>
        <v>13.899999999999995</v>
      </c>
      <c r="J41" s="4">
        <f t="shared" si="13"/>
        <v>0.7264150943396227</v>
      </c>
      <c r="K41" s="9">
        <f t="shared" si="6"/>
        <v>0.98349056603773544</v>
      </c>
      <c r="L41" s="9">
        <f t="shared" si="7"/>
        <v>13.670518867924519</v>
      </c>
      <c r="M41" s="9">
        <f t="shared" si="8"/>
        <v>190.02021226415073</v>
      </c>
      <c r="N41" s="26">
        <f t="shared" si="9"/>
        <v>2641.2809504716943</v>
      </c>
      <c r="O41" s="7">
        <f t="shared" si="10"/>
        <v>0.11792452830188686</v>
      </c>
      <c r="Q41" s="3"/>
      <c r="R41" s="3"/>
    </row>
    <row r="42" spans="1:18" x14ac:dyDescent="0.45">
      <c r="A42" s="4">
        <v>12</v>
      </c>
      <c r="B42" s="8">
        <f t="shared" si="11"/>
        <v>10.599999999999996</v>
      </c>
      <c r="C42" s="16">
        <f t="shared" si="12"/>
        <v>11.199999999999996</v>
      </c>
      <c r="D42" s="17">
        <f t="shared" si="0"/>
        <v>14</v>
      </c>
      <c r="E42" s="8">
        <f t="shared" si="2"/>
        <v>14.199999999999996</v>
      </c>
      <c r="F42" s="16">
        <f t="shared" si="3"/>
        <v>14.799999999999995</v>
      </c>
      <c r="G42" s="17">
        <f t="shared" si="1"/>
        <v>13</v>
      </c>
      <c r="H42" s="9">
        <f t="shared" si="4"/>
        <v>6.1320754716981132E-2</v>
      </c>
      <c r="I42" s="9">
        <f t="shared" si="5"/>
        <v>14.499999999999996</v>
      </c>
      <c r="J42" s="4">
        <f t="shared" si="13"/>
        <v>0.79716981132075482</v>
      </c>
      <c r="K42" s="9">
        <f t="shared" si="6"/>
        <v>0.88915094339622625</v>
      </c>
      <c r="L42" s="9">
        <f t="shared" si="7"/>
        <v>12.892688679245277</v>
      </c>
      <c r="M42" s="9">
        <f t="shared" si="8"/>
        <v>186.94398584905647</v>
      </c>
      <c r="N42" s="26">
        <f t="shared" si="9"/>
        <v>2710.6877948113174</v>
      </c>
      <c r="O42" s="7">
        <f t="shared" si="10"/>
        <v>0.10220125786163528</v>
      </c>
      <c r="Q42" s="3"/>
      <c r="R42" s="3"/>
    </row>
    <row r="43" spans="1:18" x14ac:dyDescent="0.45">
      <c r="A43" s="5">
        <v>13</v>
      </c>
      <c r="B43" s="8">
        <f t="shared" si="11"/>
        <v>11.199999999999996</v>
      </c>
      <c r="C43" s="16">
        <f t="shared" si="12"/>
        <v>11.799999999999995</v>
      </c>
      <c r="D43" s="17">
        <f t="shared" si="0"/>
        <v>18</v>
      </c>
      <c r="E43" s="8">
        <f t="shared" si="2"/>
        <v>14.799999999999995</v>
      </c>
      <c r="F43" s="16">
        <f t="shared" si="3"/>
        <v>15.399999999999995</v>
      </c>
      <c r="G43" s="17">
        <f t="shared" si="1"/>
        <v>17</v>
      </c>
      <c r="H43" s="9">
        <f t="shared" si="4"/>
        <v>8.0188679245283015E-2</v>
      </c>
      <c r="I43" s="9">
        <f t="shared" si="5"/>
        <v>15.099999999999994</v>
      </c>
      <c r="J43" s="4">
        <f t="shared" si="13"/>
        <v>0.85849056603773599</v>
      </c>
      <c r="K43" s="9">
        <f t="shared" si="6"/>
        <v>1.2108490566037731</v>
      </c>
      <c r="L43" s="9">
        <f t="shared" si="7"/>
        <v>18.283820754716967</v>
      </c>
      <c r="M43" s="9">
        <f t="shared" si="8"/>
        <v>276.08569339622608</v>
      </c>
      <c r="N43" s="26">
        <f t="shared" si="9"/>
        <v>4168.8939702830121</v>
      </c>
      <c r="O43" s="7">
        <f t="shared" si="10"/>
        <v>0.13364779874213845</v>
      </c>
      <c r="Q43" s="3"/>
      <c r="R43" s="3"/>
    </row>
    <row r="44" spans="1:18" x14ac:dyDescent="0.45">
      <c r="A44" s="5">
        <v>14</v>
      </c>
      <c r="B44" s="8">
        <f t="shared" si="11"/>
        <v>11.799999999999995</v>
      </c>
      <c r="C44" s="16">
        <f t="shared" si="12"/>
        <v>12.399999999999995</v>
      </c>
      <c r="D44" s="17">
        <f t="shared" si="0"/>
        <v>23</v>
      </c>
      <c r="E44" s="8">
        <f t="shared" si="2"/>
        <v>15.399999999999995</v>
      </c>
      <c r="F44" s="16">
        <f t="shared" si="3"/>
        <v>15.999999999999995</v>
      </c>
      <c r="G44" s="17">
        <f t="shared" si="1"/>
        <v>13</v>
      </c>
      <c r="H44" s="9">
        <f t="shared" si="4"/>
        <v>6.1320754716981132E-2</v>
      </c>
      <c r="I44" s="9">
        <f t="shared" si="5"/>
        <v>15.699999999999996</v>
      </c>
      <c r="J44" s="4">
        <f t="shared" si="13"/>
        <v>0.93867924528301905</v>
      </c>
      <c r="K44" s="9">
        <f t="shared" si="6"/>
        <v>0.96273584905660348</v>
      </c>
      <c r="L44" s="9">
        <f t="shared" si="7"/>
        <v>15.11495283018867</v>
      </c>
      <c r="M44" s="9">
        <f t="shared" si="8"/>
        <v>237.30475943396206</v>
      </c>
      <c r="N44" s="26">
        <f t="shared" si="9"/>
        <v>3725.6847231132033</v>
      </c>
      <c r="O44" s="7">
        <f t="shared" si="10"/>
        <v>0.10220125786163528</v>
      </c>
      <c r="Q44" s="3"/>
      <c r="R44" s="3"/>
    </row>
    <row r="45" spans="1:18" x14ac:dyDescent="0.45">
      <c r="A45" s="4">
        <v>15</v>
      </c>
      <c r="B45" s="8">
        <f t="shared" si="11"/>
        <v>12.399999999999995</v>
      </c>
      <c r="C45" s="16">
        <f t="shared" si="12"/>
        <v>12.999999999999995</v>
      </c>
      <c r="D45" s="17">
        <f t="shared" si="0"/>
        <v>15</v>
      </c>
      <c r="E45" s="6"/>
      <c r="F45" s="6"/>
      <c r="G45" s="6"/>
      <c r="H45" s="6"/>
      <c r="I45" s="6"/>
      <c r="J45" s="6"/>
      <c r="K45" s="6"/>
      <c r="L45" s="7"/>
      <c r="M45" s="7"/>
      <c r="N45" s="27"/>
      <c r="O45" s="7"/>
      <c r="Q45" s="3"/>
    </row>
    <row r="46" spans="1:18" x14ac:dyDescent="0.45">
      <c r="A46" s="5">
        <v>16</v>
      </c>
      <c r="B46" s="8">
        <f t="shared" si="11"/>
        <v>12.999999999999995</v>
      </c>
      <c r="C46" s="16">
        <f t="shared" si="12"/>
        <v>13.599999999999994</v>
      </c>
      <c r="D46" s="17">
        <f t="shared" si="0"/>
        <v>15</v>
      </c>
      <c r="E46" s="6"/>
      <c r="F46" s="6"/>
      <c r="G46" s="6"/>
      <c r="H46" s="6"/>
      <c r="I46" s="6"/>
      <c r="J46" s="6"/>
      <c r="K46" s="6"/>
      <c r="L46" s="7"/>
      <c r="M46" s="7"/>
      <c r="N46" s="27"/>
      <c r="O46" s="7"/>
      <c r="Q46" s="3"/>
      <c r="R46" s="3"/>
    </row>
    <row r="47" spans="1:18" x14ac:dyDescent="0.45">
      <c r="A47" s="5">
        <v>17</v>
      </c>
      <c r="B47" s="8">
        <f t="shared" si="11"/>
        <v>13.599999999999994</v>
      </c>
      <c r="C47" s="16">
        <f t="shared" si="12"/>
        <v>14.199999999999994</v>
      </c>
      <c r="D47" s="17">
        <f t="shared" si="0"/>
        <v>15</v>
      </c>
      <c r="E47" s="6"/>
      <c r="F47" s="6"/>
      <c r="G47" s="6"/>
      <c r="H47" s="6"/>
      <c r="I47" s="6"/>
      <c r="J47" s="6"/>
      <c r="K47" s="6"/>
      <c r="L47" s="7"/>
      <c r="M47" s="7"/>
      <c r="N47" s="27"/>
      <c r="O47" s="7"/>
      <c r="Q47" s="3"/>
    </row>
    <row r="48" spans="1:18" x14ac:dyDescent="0.45">
      <c r="A48" s="5">
        <v>18</v>
      </c>
      <c r="B48" s="8">
        <f t="shared" si="11"/>
        <v>14.199999999999994</v>
      </c>
      <c r="C48" s="16">
        <f t="shared" si="12"/>
        <v>14.799999999999994</v>
      </c>
      <c r="D48" s="17">
        <f t="shared" si="0"/>
        <v>13</v>
      </c>
      <c r="E48" s="6"/>
      <c r="F48" s="6"/>
      <c r="G48" s="6"/>
      <c r="H48" s="6"/>
      <c r="I48" s="6"/>
      <c r="J48" s="6"/>
      <c r="K48" s="6"/>
      <c r="L48" s="7"/>
      <c r="M48" s="7"/>
      <c r="N48" s="27"/>
      <c r="O48" s="7"/>
      <c r="Q48" s="3"/>
    </row>
    <row r="49" spans="1:17" x14ac:dyDescent="0.45">
      <c r="A49" s="4">
        <v>19</v>
      </c>
      <c r="B49" s="8">
        <f t="shared" si="11"/>
        <v>14.799999999999994</v>
      </c>
      <c r="C49" s="16">
        <f t="shared" si="12"/>
        <v>15.399999999999993</v>
      </c>
      <c r="D49" s="17">
        <f t="shared" si="0"/>
        <v>17</v>
      </c>
      <c r="E49" s="6"/>
      <c r="F49" s="6"/>
      <c r="G49" s="6"/>
      <c r="H49" s="6"/>
      <c r="I49" s="6"/>
      <c r="J49" s="6"/>
      <c r="K49" s="6"/>
      <c r="L49" s="7"/>
      <c r="M49" s="7"/>
      <c r="N49" s="27"/>
      <c r="O49" s="7"/>
      <c r="Q49" s="3"/>
    </row>
    <row r="50" spans="1:17" ht="18" thickBot="1" x14ac:dyDescent="0.5">
      <c r="A50" s="5">
        <v>20</v>
      </c>
      <c r="B50" s="8">
        <f t="shared" si="11"/>
        <v>15.399999999999993</v>
      </c>
      <c r="C50" s="19">
        <f t="shared" si="12"/>
        <v>15.999999999999993</v>
      </c>
      <c r="D50" s="20">
        <f t="shared" si="0"/>
        <v>13</v>
      </c>
      <c r="E50" s="6"/>
      <c r="F50" s="23"/>
      <c r="G50" s="23"/>
      <c r="H50" s="6"/>
      <c r="I50" s="6"/>
      <c r="J50" s="23"/>
      <c r="K50" s="23"/>
      <c r="L50" s="31"/>
      <c r="M50" s="31"/>
      <c r="N50" s="32"/>
      <c r="O50" s="7"/>
      <c r="Q50" s="3"/>
    </row>
    <row r="51" spans="1:17" ht="18" thickBot="1" x14ac:dyDescent="0.5">
      <c r="C51" s="21" t="s">
        <v>23</v>
      </c>
      <c r="D51" s="22">
        <f>SUM(D31:D50)</f>
        <v>214</v>
      </c>
      <c r="F51" s="21" t="s">
        <v>22</v>
      </c>
      <c r="G51" s="22">
        <f>SUM(G31:G50)</f>
        <v>212</v>
      </c>
      <c r="J51" s="33" t="s">
        <v>25</v>
      </c>
      <c r="K51" s="34">
        <f>SUM(K31:K44)</f>
        <v>11.938679245283016</v>
      </c>
      <c r="L51" s="34">
        <f t="shared" ref="L51:N51" si="14">SUM(L31:L44)</f>
        <v>147.55113207547163</v>
      </c>
      <c r="M51" s="34">
        <f t="shared" si="14"/>
        <v>1881.3743301886777</v>
      </c>
      <c r="N51" s="35">
        <f t="shared" si="14"/>
        <v>24655.342288679218</v>
      </c>
    </row>
    <row r="53" spans="1:17" ht="20.65" x14ac:dyDescent="0.5">
      <c r="K53" s="30" t="s">
        <v>30</v>
      </c>
      <c r="L53" s="2">
        <f>K51</f>
        <v>11.938679245283016</v>
      </c>
      <c r="O53" s="38"/>
      <c r="P53" s="37"/>
    </row>
    <row r="54" spans="1:17" ht="20.65" x14ac:dyDescent="0.5">
      <c r="K54" s="30" t="s">
        <v>31</v>
      </c>
      <c r="L54" s="2">
        <f>L51-L53*L53</f>
        <v>5.0190699537201908</v>
      </c>
      <c r="N54" s="30"/>
      <c r="P54" s="37"/>
    </row>
    <row r="55" spans="1:17" x14ac:dyDescent="0.5">
      <c r="K55" s="30" t="s">
        <v>26</v>
      </c>
      <c r="L55" s="2">
        <f>SQRT(L54)</f>
        <v>2.2403280906421252</v>
      </c>
      <c r="N55" s="37"/>
      <c r="O55" s="38"/>
      <c r="P55" s="37"/>
    </row>
    <row r="56" spans="1:17" ht="20.65" x14ac:dyDescent="0.7">
      <c r="K56" s="30" t="s">
        <v>32</v>
      </c>
      <c r="L56" s="2">
        <f>M51-3*L53*(L51)+2*POWER(L53,3)</f>
        <v>-3.3440512974266312E-2</v>
      </c>
      <c r="N56" s="37"/>
      <c r="O56" s="36"/>
      <c r="P56" s="37"/>
    </row>
    <row r="57" spans="1:17" ht="20.65" x14ac:dyDescent="0.7">
      <c r="K57" s="30" t="s">
        <v>33</v>
      </c>
      <c r="L57" s="2">
        <f>N51-4*L53*M51+6*L53*L53*(L51)-3*POWER(L53,4)</f>
        <v>49.280155610838847</v>
      </c>
      <c r="N57" s="37"/>
      <c r="P57" s="37"/>
    </row>
    <row r="58" spans="1:17" ht="20.65" x14ac:dyDescent="0.5">
      <c r="K58" s="30" t="s">
        <v>34</v>
      </c>
      <c r="L58" s="2">
        <f>L55*L55*L55</f>
        <v>11.244363406217214</v>
      </c>
      <c r="N58" s="37"/>
      <c r="P58" s="37"/>
    </row>
    <row r="59" spans="1:17" x14ac:dyDescent="0.5">
      <c r="K59" s="30" t="s">
        <v>27</v>
      </c>
      <c r="L59" s="2">
        <f>L56/L58</f>
        <v>-2.9739800970659167E-3</v>
      </c>
      <c r="N59" s="37"/>
      <c r="P59" s="37"/>
    </row>
    <row r="60" spans="1:17" x14ac:dyDescent="0.5">
      <c r="K60" s="30" t="s">
        <v>28</v>
      </c>
      <c r="L60" s="2">
        <f>L57/L61</f>
        <v>1.9562554870720974</v>
      </c>
      <c r="N60" s="37"/>
      <c r="P60" s="37"/>
    </row>
    <row r="61" spans="1:17" ht="20.65" x14ac:dyDescent="0.5">
      <c r="K61" s="30" t="s">
        <v>35</v>
      </c>
      <c r="L61" s="2">
        <f>L55*L55*L55*L55</f>
        <v>25.191063200336796</v>
      </c>
      <c r="N61" s="37"/>
      <c r="P61" s="37"/>
    </row>
    <row r="62" spans="1:17" x14ac:dyDescent="0.5">
      <c r="K62" s="30" t="s">
        <v>29</v>
      </c>
      <c r="L62" s="2">
        <f>(I38+I39)/2</f>
        <v>12.399999999999997</v>
      </c>
      <c r="N62" s="37"/>
    </row>
    <row r="63" spans="1:17" x14ac:dyDescent="0.45">
      <c r="N63" s="37"/>
    </row>
    <row r="67" spans="1:18" x14ac:dyDescent="0.45">
      <c r="B67" s="43" t="s">
        <v>36</v>
      </c>
      <c r="C67" s="43"/>
      <c r="D67" s="43"/>
    </row>
    <row r="68" spans="1:18" x14ac:dyDescent="0.45">
      <c r="B68" s="44" t="s">
        <v>37</v>
      </c>
      <c r="C68" s="43" t="s">
        <v>38</v>
      </c>
      <c r="D68" s="43"/>
    </row>
    <row r="69" spans="1:18" x14ac:dyDescent="0.5">
      <c r="B69" s="45"/>
      <c r="C69"/>
    </row>
    <row r="70" spans="1:18" x14ac:dyDescent="0.5">
      <c r="B70" s="45"/>
      <c r="C70" s="42"/>
    </row>
    <row r="71" spans="1:18" ht="18" thickBot="1" x14ac:dyDescent="0.55000000000000004">
      <c r="B71" s="45"/>
    </row>
    <row r="72" spans="1:18" ht="35.25" x14ac:dyDescent="0.45">
      <c r="A72" s="10" t="s">
        <v>4</v>
      </c>
      <c r="B72" s="11" t="s">
        <v>17</v>
      </c>
      <c r="C72" s="11" t="s">
        <v>18</v>
      </c>
      <c r="D72" s="11" t="s">
        <v>5</v>
      </c>
      <c r="E72" s="11" t="s">
        <v>19</v>
      </c>
      <c r="F72" s="11" t="s">
        <v>20</v>
      </c>
      <c r="G72" s="11" t="s">
        <v>6</v>
      </c>
      <c r="H72" s="11" t="s">
        <v>7</v>
      </c>
      <c r="I72" s="11" t="s">
        <v>8</v>
      </c>
      <c r="J72" s="50" t="s">
        <v>39</v>
      </c>
      <c r="K72" s="50" t="s">
        <v>40</v>
      </c>
      <c r="L72" s="50" t="s">
        <v>43</v>
      </c>
      <c r="M72" s="50" t="s">
        <v>44</v>
      </c>
      <c r="N72" s="50" t="s">
        <v>45</v>
      </c>
      <c r="O72" s="50" t="s">
        <v>47</v>
      </c>
      <c r="P72" s="46" t="s">
        <v>46</v>
      </c>
    </row>
    <row r="73" spans="1:18" ht="18" thickBot="1" x14ac:dyDescent="0.5">
      <c r="A73" s="12">
        <v>1</v>
      </c>
      <c r="B73" s="55">
        <v>2</v>
      </c>
      <c r="C73" s="55"/>
      <c r="D73" s="29">
        <v>3</v>
      </c>
      <c r="E73" s="55">
        <v>4</v>
      </c>
      <c r="F73" s="55"/>
      <c r="G73" s="29">
        <v>5</v>
      </c>
      <c r="H73" s="29">
        <v>6</v>
      </c>
      <c r="I73" s="29">
        <v>7</v>
      </c>
      <c r="J73" s="29">
        <v>8</v>
      </c>
      <c r="K73" s="29">
        <v>9</v>
      </c>
      <c r="L73" s="29">
        <v>10</v>
      </c>
      <c r="M73" s="29">
        <v>11</v>
      </c>
      <c r="N73" s="29">
        <v>12</v>
      </c>
      <c r="O73" s="51">
        <v>13</v>
      </c>
      <c r="P73" s="52">
        <v>14</v>
      </c>
      <c r="R73" s="37" t="s">
        <v>48</v>
      </c>
    </row>
    <row r="74" spans="1:18" x14ac:dyDescent="0.45">
      <c r="A74" s="8">
        <v>1</v>
      </c>
      <c r="B74" s="8">
        <f>$K$4*A74</f>
        <v>4</v>
      </c>
      <c r="C74" s="16">
        <f>B74+$K$9</f>
        <v>4.5999999999999996</v>
      </c>
      <c r="D74" s="18">
        <f t="shared" ref="D74:D93" si="15">COUNTIFS($A$1:$H$27,"&gt;="&amp;B74,$A$1:$H$27,"&lt;"&amp;C74)</f>
        <v>0</v>
      </c>
      <c r="E74" s="8">
        <v>7.6</v>
      </c>
      <c r="F74" s="16">
        <v>8.1999999999999993</v>
      </c>
      <c r="G74" s="17">
        <f t="shared" ref="G74:G87" si="16">COUNTIFS($A$1:$H$27,"&gt;="&amp;E74,$A$1:$H$27,"&lt;"&amp;F74)</f>
        <v>8</v>
      </c>
      <c r="H74" s="9">
        <f>G74/$G$51</f>
        <v>3.7735849056603772E-2</v>
      </c>
      <c r="I74" s="9">
        <f>AVERAGE(E74:F74)</f>
        <v>7.8999999999999995</v>
      </c>
      <c r="J74" s="16">
        <f>I74*H74</f>
        <v>0.2981132075471698</v>
      </c>
      <c r="K74" s="16">
        <f>I74*I74*H74</f>
        <v>2.3550943396226409</v>
      </c>
      <c r="L74" s="16">
        <v>-5</v>
      </c>
      <c r="M74" s="16">
        <f>(F74 - $J$94) / $K$97</f>
        <v>-1.6688088056832033</v>
      </c>
      <c r="N74" s="16">
        <f>NORMSDIST(M74) - NORMSDIST(L74)</f>
        <v>4.7577351868446881E-2</v>
      </c>
      <c r="O74" s="16">
        <f>N74 * $G$94</f>
        <v>10.086398596110739</v>
      </c>
      <c r="P74" s="16">
        <f>(G74 - O74)^2 / O74</f>
        <v>0.43157714424763827</v>
      </c>
      <c r="R74" s="37" t="s">
        <v>49</v>
      </c>
    </row>
    <row r="75" spans="1:18" x14ac:dyDescent="0.45">
      <c r="A75" s="5">
        <v>2</v>
      </c>
      <c r="B75" s="5">
        <f>C74</f>
        <v>4.5999999999999996</v>
      </c>
      <c r="C75" s="7">
        <f>B75+$K$9</f>
        <v>5.1999999999999993</v>
      </c>
      <c r="D75" s="53">
        <f t="shared" si="15"/>
        <v>1</v>
      </c>
      <c r="E75" s="5">
        <f t="shared" ref="E75:E87" si="17">F74</f>
        <v>8.1999999999999993</v>
      </c>
      <c r="F75" s="7">
        <f t="shared" ref="F75:F87" si="18">E75+$K$9</f>
        <v>8.7999999999999989</v>
      </c>
      <c r="G75" s="14">
        <f t="shared" si="16"/>
        <v>14</v>
      </c>
      <c r="H75" s="4">
        <f t="shared" ref="H75:H87" si="19">G75/$G$51</f>
        <v>6.6037735849056603E-2</v>
      </c>
      <c r="I75" s="4">
        <f t="shared" ref="I75:I87" si="20">AVERAGE(E75:F75)</f>
        <v>8.5</v>
      </c>
      <c r="J75" s="7">
        <f t="shared" ref="J75:J87" si="21">I75*H75</f>
        <v>0.56132075471698117</v>
      </c>
      <c r="K75" s="7">
        <f t="shared" ref="K75:K87" si="22">I75*I75*H75</f>
        <v>4.7712264150943398</v>
      </c>
      <c r="L75" s="7">
        <f>(E75 - $J$94) / $K$97</f>
        <v>-1.6688088056832033</v>
      </c>
      <c r="M75" s="7">
        <f t="shared" ref="M75:M86" si="23">(F75 - $J$94) / $K$97</f>
        <v>-1.4009908898581926</v>
      </c>
      <c r="N75" s="7">
        <f t="shared" ref="N75:N87" si="24">NORMSDIST(M75) - NORMSDIST(L75)</f>
        <v>3.3030760171515287E-2</v>
      </c>
      <c r="O75" s="7">
        <f t="shared" ref="O75:O87" si="25">N75 * $G$94</f>
        <v>7.0025211563612411</v>
      </c>
      <c r="P75" s="7">
        <f t="shared" ref="P75:P87" si="26">(G75 - O75)^2 / O75</f>
        <v>6.9924401617396645</v>
      </c>
      <c r="R75" s="37" t="s">
        <v>50</v>
      </c>
    </row>
    <row r="76" spans="1:18" x14ac:dyDescent="0.45">
      <c r="A76" s="4">
        <v>3</v>
      </c>
      <c r="B76" s="5">
        <f t="shared" ref="B76:B93" si="27">C75</f>
        <v>5.1999999999999993</v>
      </c>
      <c r="C76" s="7">
        <f t="shared" ref="C76:C93" si="28">B76+$K$9</f>
        <v>5.7999999999999989</v>
      </c>
      <c r="D76" s="53">
        <f t="shared" si="15"/>
        <v>0</v>
      </c>
      <c r="E76" s="5">
        <f t="shared" si="17"/>
        <v>8.7999999999999989</v>
      </c>
      <c r="F76" s="7">
        <f t="shared" si="18"/>
        <v>9.3999999999999986</v>
      </c>
      <c r="G76" s="14">
        <f t="shared" si="16"/>
        <v>11</v>
      </c>
      <c r="H76" s="4">
        <f t="shared" si="19"/>
        <v>5.1886792452830191E-2</v>
      </c>
      <c r="I76" s="4">
        <f t="shared" si="20"/>
        <v>9.0999999999999979</v>
      </c>
      <c r="J76" s="7">
        <f t="shared" si="21"/>
        <v>0.47216981132075464</v>
      </c>
      <c r="K76" s="7">
        <f t="shared" si="22"/>
        <v>4.2967452830188657</v>
      </c>
      <c r="L76" s="7">
        <f t="shared" ref="L76:L87" si="29">(E76 - $J$94) / $K$97</f>
        <v>-1.4009908898581926</v>
      </c>
      <c r="M76" s="7">
        <f t="shared" si="23"/>
        <v>-1.133172974033182</v>
      </c>
      <c r="N76" s="7">
        <f t="shared" si="24"/>
        <v>4.7962411891163681E-2</v>
      </c>
      <c r="O76" s="7">
        <f t="shared" si="25"/>
        <v>10.168031320926701</v>
      </c>
      <c r="P76" s="7">
        <f t="shared" si="26"/>
        <v>6.807334292277592E-2</v>
      </c>
      <c r="R76" s="37" t="s">
        <v>51</v>
      </c>
    </row>
    <row r="77" spans="1:18" x14ac:dyDescent="0.45">
      <c r="A77" s="5">
        <v>4</v>
      </c>
      <c r="B77" s="5">
        <f t="shared" si="27"/>
        <v>5.7999999999999989</v>
      </c>
      <c r="C77" s="7">
        <f t="shared" si="28"/>
        <v>6.3999999999999986</v>
      </c>
      <c r="D77" s="53">
        <f t="shared" si="15"/>
        <v>1</v>
      </c>
      <c r="E77" s="5">
        <f t="shared" si="17"/>
        <v>9.3999999999999986</v>
      </c>
      <c r="F77" s="7">
        <f t="shared" si="18"/>
        <v>9.9999999999999982</v>
      </c>
      <c r="G77" s="14">
        <f t="shared" si="16"/>
        <v>13</v>
      </c>
      <c r="H77" s="4">
        <f t="shared" si="19"/>
        <v>6.1320754716981132E-2</v>
      </c>
      <c r="I77" s="4">
        <f t="shared" si="20"/>
        <v>9.6999999999999993</v>
      </c>
      <c r="J77" s="7">
        <f t="shared" si="21"/>
        <v>0.59481132075471699</v>
      </c>
      <c r="K77" s="7">
        <f t="shared" si="22"/>
        <v>5.7696698113207541</v>
      </c>
      <c r="L77" s="7">
        <f t="shared" si="29"/>
        <v>-1.133172974033182</v>
      </c>
      <c r="M77" s="7">
        <f t="shared" si="23"/>
        <v>-0.86535505820817127</v>
      </c>
      <c r="N77" s="7">
        <f t="shared" si="24"/>
        <v>6.4851159368195438E-2</v>
      </c>
      <c r="O77" s="7">
        <f t="shared" si="25"/>
        <v>13.748445786057433</v>
      </c>
      <c r="P77" s="7">
        <f t="shared" si="26"/>
        <v>4.0744321458881468E-2</v>
      </c>
      <c r="R77" s="37" t="s">
        <v>52</v>
      </c>
    </row>
    <row r="78" spans="1:18" x14ac:dyDescent="0.45">
      <c r="A78" s="5">
        <v>5</v>
      </c>
      <c r="B78" s="5">
        <f t="shared" si="27"/>
        <v>6.3999999999999986</v>
      </c>
      <c r="C78" s="7">
        <f t="shared" si="28"/>
        <v>6.9999999999999982</v>
      </c>
      <c r="D78" s="53">
        <f t="shared" si="15"/>
        <v>0</v>
      </c>
      <c r="E78" s="5">
        <f t="shared" si="17"/>
        <v>9.9999999999999982</v>
      </c>
      <c r="F78" s="7">
        <f t="shared" si="18"/>
        <v>10.599999999999998</v>
      </c>
      <c r="G78" s="14">
        <f t="shared" si="16"/>
        <v>23</v>
      </c>
      <c r="H78" s="4">
        <f t="shared" si="19"/>
        <v>0.10849056603773585</v>
      </c>
      <c r="I78" s="4">
        <f t="shared" si="20"/>
        <v>10.299999999999997</v>
      </c>
      <c r="J78" s="7">
        <f t="shared" si="21"/>
        <v>1.117452830188679</v>
      </c>
      <c r="K78" s="7">
        <f t="shared" si="22"/>
        <v>11.509764150943392</v>
      </c>
      <c r="L78" s="7">
        <f t="shared" si="29"/>
        <v>-0.86535505820817127</v>
      </c>
      <c r="M78" s="7">
        <f t="shared" si="23"/>
        <v>-0.59753714238316058</v>
      </c>
      <c r="N78" s="7">
        <f t="shared" si="24"/>
        <v>8.1652438387642301E-2</v>
      </c>
      <c r="O78" s="7">
        <f t="shared" si="25"/>
        <v>17.310316938180168</v>
      </c>
      <c r="P78" s="7">
        <f t="shared" si="26"/>
        <v>1.870127130518201</v>
      </c>
    </row>
    <row r="79" spans="1:18" x14ac:dyDescent="0.45">
      <c r="A79" s="4">
        <v>6</v>
      </c>
      <c r="B79" s="5">
        <f t="shared" si="27"/>
        <v>6.9999999999999982</v>
      </c>
      <c r="C79" s="7">
        <f t="shared" si="28"/>
        <v>7.5999999999999979</v>
      </c>
      <c r="D79" s="53">
        <f t="shared" si="15"/>
        <v>0</v>
      </c>
      <c r="E79" s="5">
        <f t="shared" si="17"/>
        <v>10.599999999999998</v>
      </c>
      <c r="F79" s="7">
        <f t="shared" si="18"/>
        <v>11.199999999999998</v>
      </c>
      <c r="G79" s="14">
        <f t="shared" si="16"/>
        <v>14</v>
      </c>
      <c r="H79" s="4">
        <f t="shared" si="19"/>
        <v>6.6037735849056603E-2</v>
      </c>
      <c r="I79" s="4">
        <f t="shared" si="20"/>
        <v>10.899999999999999</v>
      </c>
      <c r="J79" s="7">
        <f t="shared" si="21"/>
        <v>0.71981132075471688</v>
      </c>
      <c r="K79" s="7">
        <f t="shared" si="22"/>
        <v>7.8459433962264136</v>
      </c>
      <c r="L79" s="7">
        <f t="shared" si="29"/>
        <v>-0.59753714238316058</v>
      </c>
      <c r="M79" s="7">
        <f t="shared" si="23"/>
        <v>-0.32971922655814989</v>
      </c>
      <c r="N79" s="7">
        <f t="shared" si="24"/>
        <v>9.5731654030118629E-2</v>
      </c>
      <c r="O79" s="7">
        <f t="shared" si="25"/>
        <v>20.295110654385148</v>
      </c>
      <c r="P79" s="7">
        <f t="shared" si="26"/>
        <v>1.9526091197926496</v>
      </c>
    </row>
    <row r="80" spans="1:18" x14ac:dyDescent="0.45">
      <c r="A80" s="5">
        <v>7</v>
      </c>
      <c r="B80" s="5">
        <f t="shared" si="27"/>
        <v>7.5999999999999979</v>
      </c>
      <c r="C80" s="7">
        <f t="shared" si="28"/>
        <v>8.1999999999999975</v>
      </c>
      <c r="D80" s="14">
        <f t="shared" si="15"/>
        <v>8</v>
      </c>
      <c r="E80" s="5">
        <f t="shared" si="17"/>
        <v>11.199999999999998</v>
      </c>
      <c r="F80" s="7">
        <f t="shared" si="18"/>
        <v>11.799999999999997</v>
      </c>
      <c r="G80" s="14">
        <f t="shared" si="16"/>
        <v>18</v>
      </c>
      <c r="H80" s="4">
        <f t="shared" si="19"/>
        <v>8.4905660377358486E-2</v>
      </c>
      <c r="I80" s="4">
        <f t="shared" si="20"/>
        <v>11.499999999999996</v>
      </c>
      <c r="J80" s="7">
        <f t="shared" si="21"/>
        <v>0.97641509433962226</v>
      </c>
      <c r="K80" s="7">
        <f t="shared" si="22"/>
        <v>11.228773584905653</v>
      </c>
      <c r="L80" s="7">
        <f t="shared" si="29"/>
        <v>-0.32971922655814989</v>
      </c>
      <c r="M80" s="7">
        <f t="shared" si="23"/>
        <v>-6.1901310733139168E-2</v>
      </c>
      <c r="N80" s="7">
        <f t="shared" si="24"/>
        <v>0.10451464947515809</v>
      </c>
      <c r="O80" s="7">
        <f t="shared" si="25"/>
        <v>22.157105688733516</v>
      </c>
      <c r="P80" s="7">
        <f t="shared" si="26"/>
        <v>0.77995420295746942</v>
      </c>
    </row>
    <row r="81" spans="1:16" x14ac:dyDescent="0.45">
      <c r="A81" s="5">
        <v>8</v>
      </c>
      <c r="B81" s="5">
        <f t="shared" si="27"/>
        <v>8.1999999999999975</v>
      </c>
      <c r="C81" s="7">
        <f t="shared" si="28"/>
        <v>8.7999999999999972</v>
      </c>
      <c r="D81" s="14">
        <f t="shared" si="15"/>
        <v>14</v>
      </c>
      <c r="E81" s="5">
        <f t="shared" si="17"/>
        <v>11.799999999999997</v>
      </c>
      <c r="F81" s="7">
        <f t="shared" si="18"/>
        <v>12.399999999999997</v>
      </c>
      <c r="G81" s="14">
        <f t="shared" si="16"/>
        <v>23</v>
      </c>
      <c r="H81" s="4">
        <f t="shared" si="19"/>
        <v>0.10849056603773585</v>
      </c>
      <c r="I81" s="4">
        <f t="shared" si="20"/>
        <v>12.099999999999998</v>
      </c>
      <c r="J81" s="7">
        <f t="shared" si="21"/>
        <v>1.3127358490566037</v>
      </c>
      <c r="K81" s="7">
        <f t="shared" si="22"/>
        <v>15.884103773584899</v>
      </c>
      <c r="L81" s="7">
        <f t="shared" si="29"/>
        <v>-6.1901310733139168E-2</v>
      </c>
      <c r="M81" s="7">
        <f t="shared" si="23"/>
        <v>0.20591660509187154</v>
      </c>
      <c r="N81" s="7">
        <f t="shared" si="24"/>
        <v>0.1062512609502827</v>
      </c>
      <c r="O81" s="7">
        <f t="shared" si="25"/>
        <v>22.525267321459932</v>
      </c>
      <c r="P81" s="7">
        <f t="shared" si="26"/>
        <v>1.0005258222135079E-2</v>
      </c>
    </row>
    <row r="82" spans="1:16" x14ac:dyDescent="0.45">
      <c r="A82" s="4">
        <v>9</v>
      </c>
      <c r="B82" s="5">
        <f t="shared" si="27"/>
        <v>8.7999999999999972</v>
      </c>
      <c r="C82" s="7">
        <f t="shared" si="28"/>
        <v>9.3999999999999968</v>
      </c>
      <c r="D82" s="14">
        <f t="shared" si="15"/>
        <v>11</v>
      </c>
      <c r="E82" s="5">
        <f t="shared" si="17"/>
        <v>12.399999999999997</v>
      </c>
      <c r="F82" s="7">
        <f t="shared" si="18"/>
        <v>12.999999999999996</v>
      </c>
      <c r="G82" s="14">
        <f t="shared" si="16"/>
        <v>15</v>
      </c>
      <c r="H82" s="4">
        <f t="shared" si="19"/>
        <v>7.0754716981132074E-2</v>
      </c>
      <c r="I82" s="4">
        <f t="shared" si="20"/>
        <v>12.699999999999996</v>
      </c>
      <c r="J82" s="7">
        <f t="shared" si="21"/>
        <v>0.89858490566037708</v>
      </c>
      <c r="K82" s="7">
        <f t="shared" si="22"/>
        <v>11.412028301886783</v>
      </c>
      <c r="L82" s="7">
        <f t="shared" si="29"/>
        <v>0.20591660509187154</v>
      </c>
      <c r="M82" s="7">
        <f t="shared" si="23"/>
        <v>0.47373452091688223</v>
      </c>
      <c r="N82" s="7">
        <f t="shared" si="24"/>
        <v>0.10058341066787402</v>
      </c>
      <c r="O82" s="7">
        <f t="shared" si="25"/>
        <v>21.323683061589293</v>
      </c>
      <c r="P82" s="7">
        <f t="shared" si="26"/>
        <v>1.8753311680693718</v>
      </c>
    </row>
    <row r="83" spans="1:16" x14ac:dyDescent="0.45">
      <c r="A83" s="5">
        <v>10</v>
      </c>
      <c r="B83" s="5">
        <f t="shared" si="27"/>
        <v>9.3999999999999968</v>
      </c>
      <c r="C83" s="7">
        <f t="shared" si="28"/>
        <v>9.9999999999999964</v>
      </c>
      <c r="D83" s="14">
        <f t="shared" si="15"/>
        <v>13</v>
      </c>
      <c r="E83" s="5">
        <f t="shared" si="17"/>
        <v>12.999999999999996</v>
      </c>
      <c r="F83" s="7">
        <f t="shared" si="18"/>
        <v>13.599999999999996</v>
      </c>
      <c r="G83" s="14">
        <f t="shared" si="16"/>
        <v>15</v>
      </c>
      <c r="H83" s="4">
        <f t="shared" si="19"/>
        <v>7.0754716981132074E-2</v>
      </c>
      <c r="I83" s="4">
        <f t="shared" si="20"/>
        <v>13.299999999999997</v>
      </c>
      <c r="J83" s="7">
        <f t="shared" si="21"/>
        <v>0.94103773584905637</v>
      </c>
      <c r="K83" s="7">
        <f t="shared" si="22"/>
        <v>12.515801886792447</v>
      </c>
      <c r="L83" s="7">
        <f t="shared" si="29"/>
        <v>0.47373452091688223</v>
      </c>
      <c r="M83" s="7">
        <f t="shared" si="23"/>
        <v>0.74155243674189297</v>
      </c>
      <c r="N83" s="7">
        <f t="shared" si="24"/>
        <v>8.866534142004423E-2</v>
      </c>
      <c r="O83" s="7">
        <f t="shared" si="25"/>
        <v>18.797052381049376</v>
      </c>
      <c r="P83" s="7">
        <f t="shared" si="26"/>
        <v>0.76701423670916258</v>
      </c>
    </row>
    <row r="84" spans="1:16" x14ac:dyDescent="0.45">
      <c r="A84" s="5">
        <v>11</v>
      </c>
      <c r="B84" s="5">
        <f t="shared" si="27"/>
        <v>9.9999999999999964</v>
      </c>
      <c r="C84" s="7">
        <f t="shared" si="28"/>
        <v>10.599999999999996</v>
      </c>
      <c r="D84" s="14">
        <f t="shared" si="15"/>
        <v>23</v>
      </c>
      <c r="E84" s="5">
        <f t="shared" si="17"/>
        <v>13.599999999999996</v>
      </c>
      <c r="F84" s="7">
        <f t="shared" si="18"/>
        <v>14.199999999999996</v>
      </c>
      <c r="G84" s="14">
        <f t="shared" si="16"/>
        <v>15</v>
      </c>
      <c r="H84" s="4">
        <f t="shared" si="19"/>
        <v>7.0754716981132074E-2</v>
      </c>
      <c r="I84" s="4">
        <f t="shared" si="20"/>
        <v>13.899999999999995</v>
      </c>
      <c r="J84" s="7">
        <f t="shared" si="21"/>
        <v>0.98349056603773544</v>
      </c>
      <c r="K84" s="7">
        <f t="shared" si="22"/>
        <v>13.670518867924519</v>
      </c>
      <c r="L84" s="7">
        <f t="shared" si="29"/>
        <v>0.74155243674189297</v>
      </c>
      <c r="M84" s="7">
        <f t="shared" si="23"/>
        <v>1.0093703525669036</v>
      </c>
      <c r="N84" s="7">
        <f t="shared" si="24"/>
        <v>7.2780749402176159E-2</v>
      </c>
      <c r="O84" s="7">
        <f t="shared" si="25"/>
        <v>15.429518873261346</v>
      </c>
      <c r="P84" s="7">
        <f t="shared" si="26"/>
        <v>1.1956721658210785E-2</v>
      </c>
    </row>
    <row r="85" spans="1:16" x14ac:dyDescent="0.45">
      <c r="A85" s="4">
        <v>12</v>
      </c>
      <c r="B85" s="5">
        <f t="shared" si="27"/>
        <v>10.599999999999996</v>
      </c>
      <c r="C85" s="7">
        <f t="shared" si="28"/>
        <v>11.199999999999996</v>
      </c>
      <c r="D85" s="14">
        <f t="shared" si="15"/>
        <v>14</v>
      </c>
      <c r="E85" s="5">
        <f t="shared" si="17"/>
        <v>14.199999999999996</v>
      </c>
      <c r="F85" s="7">
        <f t="shared" si="18"/>
        <v>14.799999999999995</v>
      </c>
      <c r="G85" s="14">
        <f t="shared" si="16"/>
        <v>13</v>
      </c>
      <c r="H85" s="4">
        <f t="shared" si="19"/>
        <v>6.1320754716981132E-2</v>
      </c>
      <c r="I85" s="4">
        <f t="shared" si="20"/>
        <v>14.499999999999996</v>
      </c>
      <c r="J85" s="7">
        <f t="shared" si="21"/>
        <v>0.88915094339622625</v>
      </c>
      <c r="K85" s="7">
        <f t="shared" si="22"/>
        <v>12.892688679245277</v>
      </c>
      <c r="L85" s="7">
        <f t="shared" si="29"/>
        <v>1.0093703525669036</v>
      </c>
      <c r="M85" s="7">
        <f t="shared" si="23"/>
        <v>1.2771882683919142</v>
      </c>
      <c r="N85" s="7">
        <f t="shared" si="24"/>
        <v>5.5630631827038091E-2</v>
      </c>
      <c r="O85" s="7">
        <f t="shared" si="25"/>
        <v>11.793693947332075</v>
      </c>
      <c r="P85" s="7">
        <f t="shared" si="26"/>
        <v>0.12338579406941912</v>
      </c>
    </row>
    <row r="86" spans="1:16" x14ac:dyDescent="0.45">
      <c r="A86" s="5">
        <v>13</v>
      </c>
      <c r="B86" s="5">
        <f t="shared" si="27"/>
        <v>11.199999999999996</v>
      </c>
      <c r="C86" s="7">
        <f t="shared" si="28"/>
        <v>11.799999999999995</v>
      </c>
      <c r="D86" s="14">
        <f t="shared" si="15"/>
        <v>18</v>
      </c>
      <c r="E86" s="5">
        <f t="shared" si="17"/>
        <v>14.799999999999995</v>
      </c>
      <c r="F86" s="7">
        <f t="shared" si="18"/>
        <v>15.399999999999995</v>
      </c>
      <c r="G86" s="14">
        <f t="shared" si="16"/>
        <v>17</v>
      </c>
      <c r="H86" s="4">
        <f t="shared" si="19"/>
        <v>8.0188679245283015E-2</v>
      </c>
      <c r="I86" s="4">
        <f t="shared" si="20"/>
        <v>15.099999999999994</v>
      </c>
      <c r="J86" s="7">
        <f t="shared" si="21"/>
        <v>1.2108490566037731</v>
      </c>
      <c r="K86" s="7">
        <f t="shared" si="22"/>
        <v>18.283820754716967</v>
      </c>
      <c r="L86" s="7">
        <f t="shared" si="29"/>
        <v>1.2771882683919142</v>
      </c>
      <c r="M86" s="7">
        <f t="shared" si="23"/>
        <v>1.5450061842169251</v>
      </c>
      <c r="N86" s="7">
        <f t="shared" si="24"/>
        <v>3.9595510128109135E-2</v>
      </c>
      <c r="O86" s="7">
        <f t="shared" si="25"/>
        <v>8.3942481471591357</v>
      </c>
      <c r="P86" s="7">
        <f t="shared" si="26"/>
        <v>8.8225846620626456</v>
      </c>
    </row>
    <row r="87" spans="1:16" x14ac:dyDescent="0.45">
      <c r="A87" s="5">
        <v>14</v>
      </c>
      <c r="B87" s="5">
        <f t="shared" si="27"/>
        <v>11.799999999999995</v>
      </c>
      <c r="C87" s="7">
        <f t="shared" si="28"/>
        <v>12.399999999999995</v>
      </c>
      <c r="D87" s="14">
        <f t="shared" si="15"/>
        <v>23</v>
      </c>
      <c r="E87" s="5">
        <f t="shared" si="17"/>
        <v>15.399999999999995</v>
      </c>
      <c r="F87" s="7">
        <f t="shared" si="18"/>
        <v>15.999999999999995</v>
      </c>
      <c r="G87" s="14">
        <f t="shared" si="16"/>
        <v>13</v>
      </c>
      <c r="H87" s="4">
        <f t="shared" si="19"/>
        <v>6.1320754716981132E-2</v>
      </c>
      <c r="I87" s="4">
        <f t="shared" si="20"/>
        <v>15.699999999999996</v>
      </c>
      <c r="J87" s="7">
        <f t="shared" si="21"/>
        <v>0.96273584905660348</v>
      </c>
      <c r="K87" s="7">
        <f t="shared" si="22"/>
        <v>15.11495283018867</v>
      </c>
      <c r="L87" s="7">
        <f t="shared" si="29"/>
        <v>1.5450061842169251</v>
      </c>
      <c r="M87" s="7">
        <v>5</v>
      </c>
      <c r="N87" s="7">
        <f t="shared" si="24"/>
        <v>6.117209710909155E-2</v>
      </c>
      <c r="O87" s="7">
        <f t="shared" si="25"/>
        <v>12.968484587127408</v>
      </c>
      <c r="P87" s="7">
        <f t="shared" si="26"/>
        <v>7.6587302229267821E-5</v>
      </c>
    </row>
    <row r="88" spans="1:16" x14ac:dyDescent="0.45">
      <c r="A88" s="4">
        <v>15</v>
      </c>
      <c r="B88" s="5">
        <f t="shared" si="27"/>
        <v>12.399999999999995</v>
      </c>
      <c r="C88" s="7">
        <f t="shared" si="28"/>
        <v>12.999999999999995</v>
      </c>
      <c r="D88" s="14">
        <f t="shared" si="15"/>
        <v>15</v>
      </c>
      <c r="E88" s="6"/>
      <c r="F88" s="6"/>
      <c r="G88" s="6"/>
      <c r="H88" s="6"/>
      <c r="I88" s="6"/>
      <c r="J88" s="7"/>
      <c r="K88" s="7"/>
      <c r="L88" s="7"/>
      <c r="M88" s="7"/>
      <c r="N88" s="7"/>
      <c r="O88" s="7"/>
      <c r="P88" s="7"/>
    </row>
    <row r="89" spans="1:16" x14ac:dyDescent="0.45">
      <c r="A89" s="5">
        <v>16</v>
      </c>
      <c r="B89" s="5">
        <f t="shared" si="27"/>
        <v>12.999999999999995</v>
      </c>
      <c r="C89" s="7">
        <f t="shared" si="28"/>
        <v>13.599999999999994</v>
      </c>
      <c r="D89" s="14">
        <f t="shared" si="15"/>
        <v>15</v>
      </c>
      <c r="E89" s="6"/>
      <c r="F89" s="6"/>
      <c r="G89" s="6"/>
      <c r="H89" s="6"/>
      <c r="I89" s="6"/>
      <c r="J89" s="7"/>
      <c r="K89" s="7"/>
      <c r="L89" s="7"/>
      <c r="M89" s="7"/>
      <c r="N89" s="7"/>
      <c r="O89" s="7"/>
      <c r="P89" s="7"/>
    </row>
    <row r="90" spans="1:16" x14ac:dyDescent="0.45">
      <c r="A90" s="5">
        <v>17</v>
      </c>
      <c r="B90" s="5">
        <f t="shared" si="27"/>
        <v>13.599999999999994</v>
      </c>
      <c r="C90" s="7">
        <f t="shared" si="28"/>
        <v>14.199999999999994</v>
      </c>
      <c r="D90" s="14">
        <f t="shared" si="15"/>
        <v>15</v>
      </c>
      <c r="E90" s="6"/>
      <c r="F90" s="6"/>
      <c r="G90" s="6"/>
      <c r="H90" s="6"/>
      <c r="I90" s="6"/>
      <c r="J90" s="7"/>
      <c r="K90" s="7"/>
      <c r="L90" s="7"/>
      <c r="M90" s="7"/>
      <c r="N90" s="7"/>
      <c r="O90" s="7"/>
      <c r="P90" s="7"/>
    </row>
    <row r="91" spans="1:16" x14ac:dyDescent="0.45">
      <c r="A91" s="5">
        <v>18</v>
      </c>
      <c r="B91" s="5">
        <f t="shared" si="27"/>
        <v>14.199999999999994</v>
      </c>
      <c r="C91" s="7">
        <f t="shared" si="28"/>
        <v>14.799999999999994</v>
      </c>
      <c r="D91" s="14">
        <f t="shared" si="15"/>
        <v>13</v>
      </c>
      <c r="E91" s="6"/>
      <c r="F91" s="6"/>
      <c r="G91" s="6"/>
      <c r="H91" s="6"/>
      <c r="I91" s="6"/>
      <c r="J91" s="7"/>
      <c r="K91" s="7"/>
      <c r="L91" s="7"/>
      <c r="M91" s="7"/>
      <c r="N91" s="7"/>
      <c r="O91" s="7"/>
      <c r="P91" s="7"/>
    </row>
    <row r="92" spans="1:16" x14ac:dyDescent="0.45">
      <c r="A92" s="4">
        <v>19</v>
      </c>
      <c r="B92" s="5">
        <f t="shared" si="27"/>
        <v>14.799999999999994</v>
      </c>
      <c r="C92" s="7">
        <f t="shared" si="28"/>
        <v>15.399999999999993</v>
      </c>
      <c r="D92" s="14">
        <f t="shared" si="15"/>
        <v>17</v>
      </c>
      <c r="E92" s="6"/>
      <c r="F92" s="6"/>
      <c r="G92" s="6"/>
      <c r="H92" s="6"/>
      <c r="I92" s="6"/>
      <c r="J92" s="7"/>
      <c r="K92" s="7"/>
      <c r="L92" s="7"/>
      <c r="M92" s="7"/>
      <c r="N92" s="7"/>
      <c r="O92" s="7"/>
      <c r="P92" s="7"/>
    </row>
    <row r="93" spans="1:16" ht="18" thickBot="1" x14ac:dyDescent="0.5">
      <c r="A93" s="5">
        <v>20</v>
      </c>
      <c r="B93" s="5">
        <f t="shared" si="27"/>
        <v>15.399999999999993</v>
      </c>
      <c r="C93" s="31">
        <f t="shared" si="28"/>
        <v>15.999999999999993</v>
      </c>
      <c r="D93" s="54">
        <f t="shared" si="15"/>
        <v>13</v>
      </c>
      <c r="E93" s="6"/>
      <c r="F93" s="23"/>
      <c r="G93" s="23"/>
      <c r="H93" s="6"/>
      <c r="I93" s="23"/>
      <c r="J93" s="31"/>
      <c r="K93" s="31"/>
      <c r="L93" s="7"/>
      <c r="M93" s="31"/>
      <c r="N93" s="31"/>
      <c r="O93" s="31"/>
      <c r="P93" s="31"/>
    </row>
    <row r="94" spans="1:16" ht="18" thickBot="1" x14ac:dyDescent="0.5">
      <c r="C94" s="21" t="s">
        <v>23</v>
      </c>
      <c r="D94" s="22">
        <f>SUM(D74:D93)</f>
        <v>214</v>
      </c>
      <c r="F94" s="21" t="s">
        <v>22</v>
      </c>
      <c r="G94" s="22">
        <f>SUM(G74:G93)</f>
        <v>212</v>
      </c>
      <c r="I94" s="47" t="s">
        <v>25</v>
      </c>
      <c r="J94" s="48">
        <f>SUM(J74:J87)</f>
        <v>11.938679245283016</v>
      </c>
      <c r="K94" s="49">
        <f>SUM(K74:K87)</f>
        <v>147.55113207547163</v>
      </c>
      <c r="M94" s="33" t="s">
        <v>25</v>
      </c>
      <c r="N94" s="49">
        <f>SUM(N74:N87)</f>
        <v>0.99999942669685615</v>
      </c>
      <c r="O94" s="49">
        <f>SUM(O74:O87)</f>
        <v>211.99987845973357</v>
      </c>
      <c r="P94" s="49">
        <f>SUM(P74:P87)</f>
        <v>23.745879851730454</v>
      </c>
    </row>
    <row r="96" spans="1:16" x14ac:dyDescent="0.45">
      <c r="J96" s="2" t="s">
        <v>41</v>
      </c>
      <c r="K96" s="1">
        <f>K94-J94*J94</f>
        <v>5.0190699537201908</v>
      </c>
    </row>
    <row r="97" spans="10:11" x14ac:dyDescent="0.45">
      <c r="J97" s="2" t="s">
        <v>42</v>
      </c>
      <c r="K97" s="2">
        <f>SQRT(K96)</f>
        <v>2.2403280906421252</v>
      </c>
    </row>
  </sheetData>
  <mergeCells count="4">
    <mergeCell ref="B30:C30"/>
    <mergeCell ref="E30:F30"/>
    <mergeCell ref="B73:C73"/>
    <mergeCell ref="E73:F73"/>
  </mergeCells>
  <phoneticPr fontId="6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Вольнов</dc:creator>
  <cp:lastModifiedBy>ppljc</cp:lastModifiedBy>
  <dcterms:created xsi:type="dcterms:W3CDTF">2015-06-05T18:19:34Z</dcterms:created>
  <dcterms:modified xsi:type="dcterms:W3CDTF">2026-06-04T08:43:31Z</dcterms:modified>
</cp:coreProperties>
</file>